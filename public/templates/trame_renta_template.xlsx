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NTA VN" sheetId="1" state="visible" r:id="rId3"/>
    <sheet name="DONNEES" sheetId="2" state="hidden" r:id="rId4"/>
  </sheets>
  <definedNames>
    <definedName function="false" hidden="false" localSheetId="1" name="_xlnm.Print_Area" vbProcedure="false">DONNEES!$A$1:$L$80</definedName>
    <definedName function="false" hidden="false" localSheetId="0" name="_xlnm.Print_Area" vbProcedure="false">'RENTA VN'!$A$1:$N$79</definedName>
    <definedName function="false" hidden="false" name="OUINON" vbProcedure="false">DONNEES!$A$3:$A$4</definedName>
    <definedName function="false" hidden="false" name="ouinonstock" vbProcedure="false">DONNEES!$A$3:$A$5</definedName>
    <definedName function="false" hidden="false" name="PARTENAIRE" vbProcedure="false">DONNEES!$B$3:$B$5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Légende :
- Fond bleu pâle = cellule de saisie
- Texte bleu foncé = valeur calculée automatiquement
- Feuille protégée : seules les cellules de saisie sont modifiables</t>
        </r>
      </text>
    </comment>
    <comment ref="E23" authorId="0">
      <text>
        <r>
          <rPr>
            <sz val="10"/>
            <rFont val="Arial"/>
            <family val="2"/>
          </rPr>
          <t xml:space="preserve">Coût moyen par transporteur : 350€ HT</t>
        </r>
      </text>
    </comment>
  </commentList>
</comments>
</file>

<file path=xl/sharedStrings.xml><?xml version="1.0" encoding="utf-8"?>
<sst xmlns="http://schemas.openxmlformats.org/spreadsheetml/2006/main" count="79" uniqueCount="70">
  <si>
    <t xml:space="preserve">RENTABILITE VEHICULE NEUF //</t>
  </si>
  <si>
    <t xml:space="preserve">INFORMATIONS</t>
  </si>
  <si>
    <t xml:space="preserve">TYPE DE VEHICULE DE LOISIRS</t>
  </si>
  <si>
    <t xml:space="preserve">FORFAIT ADMIN (GASOIL, PLAQUES D'IMMAT, KIT SECURITE, CONSOMMABLES…)</t>
  </si>
  <si>
    <t xml:space="preserve">DATE DE COMMANDE</t>
  </si>
  <si>
    <t xml:space="preserve">CAMPING CAR</t>
  </si>
  <si>
    <t xml:space="preserve">DATE TRAME DE RENTA</t>
  </si>
  <si>
    <t xml:space="preserve">NOM PRENOM DU CLIENT</t>
  </si>
  <si>
    <t xml:space="preserve">DUREE D'EXPOSITION</t>
  </si>
  <si>
    <t xml:space="preserve">VENDEUR</t>
  </si>
  <si>
    <t xml:space="preserve">PAS D'EXPO</t>
  </si>
  <si>
    <t xml:space="preserve">REF ODOO</t>
  </si>
  <si>
    <t xml:space="preserve">VEHICULE</t>
  </si>
  <si>
    <t xml:space="preserve">OPTIONS USINE</t>
  </si>
  <si>
    <t xml:space="preserve">MARQUE</t>
  </si>
  <si>
    <t xml:space="preserve">DESIGNATION ( + REF USINE)</t>
  </si>
  <si>
    <t xml:space="preserve">PRIX D'ACHAT HT</t>
  </si>
  <si>
    <t xml:space="preserve">CESSION POSE YPO</t>
  </si>
  <si>
    <t xml:space="preserve">PRIX TTC CLIENT</t>
  </si>
  <si>
    <t xml:space="preserve">TEMPS DE POSE</t>
  </si>
  <si>
    <t xml:space="preserve">MODELE</t>
  </si>
  <si>
    <t xml:space="preserve">COLLECTION</t>
  </si>
  <si>
    <t xml:space="preserve">STOCK / COMMANDE</t>
  </si>
  <si>
    <t xml:space="preserve">N° DE CHASSIS / COMMANDE</t>
  </si>
  <si>
    <t xml:space="preserve">DATE DE LIVRAISON</t>
  </si>
  <si>
    <t xml:space="preserve">PRIX VDL</t>
  </si>
  <si>
    <t xml:space="preserve">FRAIS DE SORTIE USINE</t>
  </si>
  <si>
    <t xml:space="preserve">TRANSPORT USINE</t>
  </si>
  <si>
    <t xml:space="preserve">CESSION ODOO + TRAVAUX EXTERIEURS + ENCOURS</t>
  </si>
  <si>
    <t xml:space="preserve">TRANSPORT InterSite pour rapatriement véhicule</t>
  </si>
  <si>
    <t xml:space="preserve">PRIX CATALOGUE (HORS FORFAIT ADMIN)</t>
  </si>
  <si>
    <t xml:space="preserve">PRIX AVEC OPTIONS, EQUIPEMENTS ET FORFAIT</t>
  </si>
  <si>
    <t xml:space="preserve">PRIX BAS BDC TTC (HORS CARTE GRISE)</t>
  </si>
  <si>
    <t xml:space="preserve">REMISE </t>
  </si>
  <si>
    <t xml:space="preserve">TOTAL</t>
  </si>
  <si>
    <t xml:space="preserve">MARGE ATTENDUE DE L'AFFAIRE (VDL + FI)</t>
  </si>
  <si>
    <t xml:space="preserve">PREPARATION YPOCAMP / TOP ACCESSOIRES / SOUS-TRAITANT</t>
  </si>
  <si>
    <t xml:space="preserve">MARGE VDL</t>
  </si>
  <si>
    <t xml:space="preserve">DESIGNATION ( + REF TOP)</t>
  </si>
  <si>
    <t xml:space="preserve">CESSION PIÈCE</t>
  </si>
  <si>
    <t xml:space="preserve">CESSION MO</t>
  </si>
  <si>
    <t xml:space="preserve">MARGE FINANCEMENT</t>
  </si>
  <si>
    <t xml:space="preserve">PROVISION SUR EFFORT COMMERCIAL APRES VENTE</t>
  </si>
  <si>
    <t xml:space="preserve">MARGE TOTALE DE L'AFFAIRE (VDL + FI)</t>
  </si>
  <si>
    <t xml:space="preserve">Batterie gel 105Ah</t>
  </si>
  <si>
    <t xml:space="preserve">                                 MARGE VDL</t>
  </si>
  <si>
    <t xml:space="preserve">Préparation esthétique par sous-traitant</t>
  </si>
  <si>
    <t xml:space="preserve">FINANCEMENT</t>
  </si>
  <si>
    <t xml:space="preserve">OUI</t>
  </si>
  <si>
    <t xml:space="preserve">ORGANISME</t>
  </si>
  <si>
    <t xml:space="preserve">MONTANT DU FINANCEMENT</t>
  </si>
  <si>
    <t xml:space="preserve">RACHAT</t>
  </si>
  <si>
    <t xml:space="preserve">NON</t>
  </si>
  <si>
    <t xml:space="preserve">MONTANT DU RACHAT</t>
  </si>
  <si>
    <t xml:space="preserve">PRIX AFFICHE SUR PARC PREVU</t>
  </si>
  <si>
    <t xml:space="preserve">BON DE PREPARATION / COMMENTAIRES</t>
  </si>
  <si>
    <t xml:space="preserve">DRG :</t>
  </si>
  <si>
    <t xml:space="preserve">CARROSSERIE :</t>
  </si>
  <si>
    <t xml:space="preserve">REMISE EN ETAT :</t>
  </si>
  <si>
    <t xml:space="preserve">RESERVÉ AU GESTIONNAIRE DE STOCK</t>
  </si>
  <si>
    <t xml:space="preserve">Option / Equipement</t>
  </si>
  <si>
    <t xml:space="preserve">Fournisseur</t>
  </si>
  <si>
    <t xml:space="preserve">Date de commande / Résa</t>
  </si>
  <si>
    <t xml:space="preserve">Date de relance</t>
  </si>
  <si>
    <t xml:space="preserve">Date de réception</t>
  </si>
  <si>
    <t xml:space="preserve">Nom du Gestionnaire</t>
  </si>
  <si>
    <t xml:space="preserve">Loisirs Finance</t>
  </si>
  <si>
    <t xml:space="preserve">Financo</t>
  </si>
  <si>
    <t xml:space="preserve">EN STOCK</t>
  </si>
  <si>
    <t xml:space="preserve">Viaxel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</si>
</sst>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&quot; €&quot;_-;\-* #,##0.00&quot; €&quot;_-;_-* \-??&quot; €&quot;_-;_-@_-"/>
    <numFmt numFmtId="166" formatCode="0%"/>
    <numFmt numFmtId="167" formatCode="m/d/yyyy"/>
    <numFmt numFmtId="168" formatCode="#,##0&quot; €&quot;"/>
    <numFmt numFmtId="169" formatCode="General&quot; € TTC CLIENT&quot;"/>
    <numFmt numFmtId="170" formatCode="0"/>
    <numFmt numFmtId="171" formatCode="@"/>
    <numFmt numFmtId="172" formatCode="0.00%"/>
    <numFmt numFmtId="173" formatCode="h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sz val="11"/>
      <color rgb="FF333333"/>
      <name val="Calibri"/>
      <family val="2"/>
      <charset val="1"/>
    </font>
    <font>
      <sz val="16"/>
      <color theme="1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10"/>
      <color rgb="FF333333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6"/>
      <color rgb="FF365556"/>
      <name val="Calibri"/>
      <family val="2"/>
      <charset val="1"/>
    </font>
    <font>
      <b val="true"/>
      <sz val="11"/>
      <color rgb="FF426769"/>
      <name val="Calibri"/>
      <family val="2"/>
      <charset val="1"/>
    </font>
    <font>
      <b val="true"/>
      <sz val="16"/>
      <color theme="0"/>
      <name val="Calibri"/>
      <family val="2"/>
      <charset val="1"/>
    </font>
    <font>
      <b val="true"/>
      <sz val="10"/>
      <color rgb="FF365556"/>
      <name val="Calibri"/>
      <family val="2"/>
      <charset val="1"/>
    </font>
    <font>
      <b val="true"/>
      <sz val="10"/>
      <color rgb="FF426769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b val="true"/>
      <sz val="9.5"/>
      <color rgb="FFFFFFFF"/>
      <name val="Calibri"/>
      <family val="2"/>
      <charset val="1"/>
    </font>
    <font>
      <sz val="10"/>
      <color rgb="FF426769"/>
      <name val="Calibri"/>
      <family val="2"/>
      <charset val="1"/>
    </font>
    <font>
      <b val="true"/>
      <sz val="10"/>
      <color rgb="FF333333"/>
      <name val="Calibri"/>
      <family val="2"/>
      <charset val="1"/>
    </font>
    <font>
      <i val="true"/>
      <sz val="9"/>
      <color rgb="FF426769"/>
      <name val="Calibri"/>
      <family val="2"/>
      <charset val="1"/>
    </font>
    <font>
      <sz val="16"/>
      <color theme="0"/>
      <name val="Calibri"/>
      <family val="2"/>
      <charset val="1"/>
    </font>
    <font>
      <b val="true"/>
      <sz val="11"/>
      <color rgb="FF1F3D3E"/>
      <name val="Calibri"/>
      <family val="2"/>
      <charset val="1"/>
    </font>
    <font>
      <b val="true"/>
      <sz val="16"/>
      <color rgb="FF0070C0"/>
      <name val="Calibri"/>
      <family val="2"/>
      <charset val="1"/>
    </font>
    <font>
      <b val="true"/>
      <sz val="16"/>
      <color rgb="FFFF0000"/>
      <name val="Calibri"/>
      <family val="2"/>
      <charset val="1"/>
    </font>
    <font>
      <b val="true"/>
      <sz val="10"/>
      <color rgb="FF304B4C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name val="Arial"/>
      <family val="2"/>
    </font>
    <font>
      <b val="true"/>
      <sz val="10"/>
      <color rgb="FF3D3D3D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rgb="FFF4F5F7"/>
      </patternFill>
    </fill>
    <fill>
      <patternFill patternType="solid">
        <fgColor rgb="FF4A7577"/>
        <bgColor rgb="FF426769"/>
      </patternFill>
    </fill>
    <fill>
      <patternFill patternType="solid">
        <fgColor rgb="FF78BDC0"/>
        <bgColor rgb="FFA7D4D6"/>
      </patternFill>
    </fill>
    <fill>
      <patternFill patternType="solid">
        <fgColor rgb="FFECF5F6"/>
        <bgColor rgb="FFF4F5F7"/>
      </patternFill>
    </fill>
    <fill>
      <patternFill patternType="solid">
        <fgColor rgb="FF002060"/>
        <bgColor rgb="FF000080"/>
      </patternFill>
    </fill>
    <fill>
      <patternFill patternType="solid">
        <fgColor rgb="FF5C9698"/>
        <bgColor rgb="FF4A7577"/>
      </patternFill>
    </fill>
    <fill>
      <patternFill patternType="solid">
        <fgColor rgb="FF304B4C"/>
        <bgColor rgb="FF365556"/>
      </patternFill>
    </fill>
    <fill>
      <patternFill patternType="solid">
        <fgColor rgb="FFA7D4D6"/>
        <bgColor rgb="FFCCCCFF"/>
      </patternFill>
    </fill>
    <fill>
      <patternFill patternType="solid">
        <fgColor theme="1"/>
        <bgColor rgb="FF002060"/>
      </patternFill>
    </fill>
    <fill>
      <patternFill patternType="solid">
        <fgColor rgb="FFF4F5F7"/>
        <bgColor rgb="FFECF5F6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>
        <color rgb="FFB7B7B7"/>
      </left>
      <right style="thin"/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medium">
        <color theme="1"/>
      </top>
      <bottom/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2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2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5" borderId="1" xfId="21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8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0" borderId="1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1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3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28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5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8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3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uro" xfId="20"/>
    <cellStyle name="Pourcentage 2" xfId="21"/>
  </cellStyles>
  <dxfs count="2">
    <dxf>
      <font>
        <color rgb="FFFFFFFF"/>
      </font>
      <fill>
        <patternFill>
          <bgColor rgb="FF00B050"/>
        </patternFill>
      </fill>
    </dxf>
    <dxf>
      <font>
        <color rgb="FF000000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26769"/>
      <rgbColor rgb="FFB7B7B7"/>
      <rgbColor rgb="FF5C9698"/>
      <rgbColor rgb="FF9999FF"/>
      <rgbColor rgb="FF993366"/>
      <rgbColor rgb="FFF4F5F7"/>
      <rgbColor rgb="FFECF5F6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365556"/>
      <rgbColor rgb="FF0000FF"/>
      <rgbColor rgb="FF00CCFF"/>
      <rgbColor rgb="FFCCFFFF"/>
      <rgbColor rgb="FFCCFFCC"/>
      <rgbColor rgb="FFFFFF99"/>
      <rgbColor rgb="FFA7D4D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577"/>
      <rgbColor rgb="FF78BDC0"/>
      <rgbColor rgb="FF002060"/>
      <rgbColor rgb="FF00B050"/>
      <rgbColor rgb="FF1F3D3E"/>
      <rgbColor rgb="FF3D3D3D"/>
      <rgbColor rgb="FF993300"/>
      <rgbColor rgb="FF993366"/>
      <rgbColor rgb="FF304B4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80"/>
  <sheetViews>
    <sheetView showFormulas="false" showGridLines="false" showRowColHeaders="true" showZeros="true" rightToLeft="false" tabSelected="true" showOutlineSymbols="true" defaultGridColor="true" view="normal" topLeftCell="A1" colorId="64" zoomScale="113" zoomScaleNormal="113" zoomScalePageLayoutView="100" workbookViewId="0">
      <pane xSplit="0" ySplit="1" topLeftCell="A25" activePane="bottomLeft" state="frozen"/>
      <selection pane="topLeft" activeCell="A1" activeCellId="0" sqref="A1"/>
      <selection pane="bottomLeft" activeCell="C13" activeCellId="0" sqref="C13"/>
    </sheetView>
  </sheetViews>
  <sheetFormatPr defaultColWidth="3.00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2" width="30"/>
    <col collapsed="false" customWidth="true" hidden="false" outlineLevel="0" max="5" min="3" style="2" width="13"/>
    <col collapsed="false" customWidth="true" hidden="false" outlineLevel="0" max="6" min="6" style="2" width="2.5"/>
    <col collapsed="false" customWidth="true" hidden="false" outlineLevel="0" max="7" min="7" style="2" width="34"/>
    <col collapsed="false" customWidth="true" hidden="false" outlineLevel="0" max="8" min="8" style="2" width="12"/>
    <col collapsed="false" customWidth="true" hidden="false" outlineLevel="0" max="11" min="9" style="2" width="13"/>
    <col collapsed="false" customWidth="true" hidden="false" outlineLevel="0" max="12" min="12" style="1" width="11"/>
    <col collapsed="false" customWidth="false" hidden="false" outlineLevel="0" max="13" min="13" style="1" width="3"/>
    <col collapsed="false" customWidth="false" hidden="false" outlineLevel="0" max="16384" min="14" style="2" width="3"/>
  </cols>
  <sheetData>
    <row r="1" customFormat="false" ht="33.75" hidden="false" customHeight="true" outlineLevel="0" collapsed="false">
      <c r="A1" s="3"/>
      <c r="B1" s="4" t="s">
        <v>0</v>
      </c>
      <c r="C1" s="4"/>
      <c r="D1" s="4"/>
      <c r="E1" s="4"/>
      <c r="F1" s="4"/>
      <c r="G1" s="4"/>
      <c r="H1" s="5" t="str">
        <f aca="false">(I7+J27+J45)/50&amp; " Heures DANS L'ATELIER (Prépa, Mise en main)"</f>
        <v>5 Heures DANS L'ATELIER (Prépa, Mise en main)</v>
      </c>
      <c r="I1" s="5"/>
      <c r="J1" s="5"/>
      <c r="K1" s="5"/>
      <c r="L1" s="5"/>
      <c r="M1" s="3"/>
    </row>
    <row r="2" s="1" customFormat="true" ht="15.75" hidden="false" customHeight="tru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30" hidden="false" customHeight="true" outlineLevel="0" collapsed="false">
      <c r="A3" s="3"/>
      <c r="B3" s="7" t="s">
        <v>1</v>
      </c>
      <c r="C3" s="7"/>
      <c r="D3" s="7"/>
      <c r="E3" s="7"/>
      <c r="F3" s="8"/>
      <c r="G3" s="9" t="s">
        <v>2</v>
      </c>
      <c r="H3" s="9"/>
      <c r="I3" s="10" t="s">
        <v>3</v>
      </c>
      <c r="J3" s="10"/>
      <c r="K3" s="10"/>
      <c r="L3" s="10"/>
      <c r="M3" s="3"/>
    </row>
    <row r="4" s="1" customFormat="true" ht="30" hidden="false" customHeight="true" outlineLevel="0" collapsed="false">
      <c r="A4" s="3"/>
      <c r="B4" s="11" t="s">
        <v>4</v>
      </c>
      <c r="C4" s="12"/>
      <c r="D4" s="12"/>
      <c r="E4" s="12"/>
      <c r="F4" s="8"/>
      <c r="G4" s="13" t="s">
        <v>5</v>
      </c>
      <c r="H4" s="13"/>
      <c r="I4" s="14" t="n">
        <f aca="false">IF(G4="CAMPING CAR",135,20)</f>
        <v>135</v>
      </c>
      <c r="J4" s="14"/>
      <c r="K4" s="15" t="n">
        <f aca="false">IF(G4="CAMPING CAR",790,(IF(G4="CARAVANE",380,"CARTE GRISE A LA CHARGE DU CLIENT")))</f>
        <v>790</v>
      </c>
      <c r="L4" s="15"/>
      <c r="M4" s="3"/>
    </row>
    <row r="5" customFormat="false" ht="15.75" hidden="false" customHeight="true" outlineLevel="0" collapsed="false">
      <c r="A5" s="3"/>
      <c r="B5" s="11" t="s">
        <v>6</v>
      </c>
      <c r="C5" s="12"/>
      <c r="D5" s="12"/>
      <c r="E5" s="12"/>
      <c r="F5" s="8"/>
      <c r="G5" s="13"/>
      <c r="H5" s="13"/>
      <c r="I5" s="14"/>
      <c r="J5" s="14"/>
      <c r="K5" s="15"/>
      <c r="L5" s="15"/>
      <c r="M5" s="3"/>
    </row>
    <row r="6" s="1" customFormat="true" ht="30" hidden="false" customHeight="true" outlineLevel="0" collapsed="false">
      <c r="A6" s="3"/>
      <c r="B6" s="11" t="s">
        <v>7</v>
      </c>
      <c r="C6" s="16"/>
      <c r="D6" s="16"/>
      <c r="E6" s="16"/>
      <c r="F6" s="8"/>
      <c r="G6" s="9" t="s">
        <v>8</v>
      </c>
      <c r="H6" s="9"/>
      <c r="I6" s="17"/>
      <c r="J6" s="17"/>
      <c r="K6" s="17"/>
      <c r="L6" s="17"/>
      <c r="M6" s="3"/>
    </row>
    <row r="7" customFormat="false" ht="30" hidden="false" customHeight="true" outlineLevel="0" collapsed="false">
      <c r="A7" s="3"/>
      <c r="B7" s="11" t="s">
        <v>9</v>
      </c>
      <c r="C7" s="16"/>
      <c r="D7" s="16"/>
      <c r="E7" s="16"/>
      <c r="F7" s="8"/>
      <c r="G7" s="13" t="s">
        <v>10</v>
      </c>
      <c r="H7" s="13"/>
      <c r="I7" s="14" t="n">
        <f aca="false">IF(G4="Camping car",200,150)</f>
        <v>200</v>
      </c>
      <c r="J7" s="14"/>
      <c r="K7" s="18" t="str">
        <f aca="false">IF(G4="CAMPING CAR","4 Heures","3 Heures")</f>
        <v>4 Heures</v>
      </c>
      <c r="L7" s="18"/>
      <c r="M7" s="3"/>
    </row>
    <row r="8" s="1" customFormat="true" ht="15.75" hidden="false" customHeight="true" outlineLevel="0" collapsed="false">
      <c r="A8" s="3"/>
      <c r="B8" s="19" t="s">
        <v>11</v>
      </c>
      <c r="C8" s="20" t="n">
        <f aca="false">IF(E35=0,(E34*9%),(E34*11%+E40*0.3%))</f>
        <v>0</v>
      </c>
      <c r="D8" s="20"/>
      <c r="E8" s="20"/>
      <c r="F8" s="8"/>
      <c r="G8" s="13"/>
      <c r="H8" s="13"/>
      <c r="I8" s="14"/>
      <c r="J8" s="14"/>
      <c r="K8" s="18"/>
      <c r="L8" s="18"/>
      <c r="M8" s="3"/>
    </row>
    <row r="9" customFormat="false" ht="15.75" hidden="false" customHeight="true" outlineLevel="0" collapsed="false">
      <c r="A9" s="3"/>
      <c r="B9" s="21"/>
      <c r="C9" s="21"/>
      <c r="D9" s="22"/>
      <c r="E9" s="22"/>
      <c r="F9" s="8"/>
      <c r="G9" s="23"/>
      <c r="H9" s="23"/>
      <c r="I9" s="23"/>
      <c r="J9" s="23"/>
      <c r="K9" s="23"/>
      <c r="L9" s="8"/>
      <c r="M9" s="24"/>
    </row>
    <row r="10" customFormat="false" ht="15.75" hidden="false" customHeight="true" outlineLevel="0" collapsed="false">
      <c r="A10" s="3"/>
      <c r="B10" s="7" t="s">
        <v>12</v>
      </c>
      <c r="C10" s="7"/>
      <c r="D10" s="7"/>
      <c r="E10" s="7"/>
      <c r="F10" s="8"/>
      <c r="G10" s="25" t="s">
        <v>13</v>
      </c>
      <c r="H10" s="25"/>
      <c r="I10" s="25"/>
      <c r="J10" s="25"/>
      <c r="K10" s="25"/>
      <c r="L10" s="25"/>
      <c r="M10" s="26"/>
    </row>
    <row r="11" customFormat="false" ht="30" hidden="false" customHeight="true" outlineLevel="0" collapsed="false">
      <c r="A11" s="3"/>
      <c r="B11" s="11" t="s">
        <v>14</v>
      </c>
      <c r="C11" s="16"/>
      <c r="D11" s="16"/>
      <c r="E11" s="16"/>
      <c r="F11" s="8"/>
      <c r="G11" s="27" t="s">
        <v>15</v>
      </c>
      <c r="H11" s="27"/>
      <c r="I11" s="27" t="s">
        <v>16</v>
      </c>
      <c r="J11" s="27" t="s">
        <v>17</v>
      </c>
      <c r="K11" s="28" t="s">
        <v>18</v>
      </c>
      <c r="L11" s="28" t="s">
        <v>19</v>
      </c>
      <c r="M11" s="26"/>
    </row>
    <row r="12" customFormat="false" ht="15.75" hidden="false" customHeight="true" outlineLevel="0" collapsed="false">
      <c r="A12" s="3"/>
      <c r="B12" s="11" t="s">
        <v>20</v>
      </c>
      <c r="C12" s="16"/>
      <c r="D12" s="16"/>
      <c r="E12" s="16"/>
      <c r="F12" s="8"/>
      <c r="G12" s="16"/>
      <c r="H12" s="16"/>
      <c r="I12" s="29"/>
      <c r="J12" s="29"/>
      <c r="K12" s="29"/>
      <c r="L12" s="30" t="str">
        <f aca="false">J12/50&amp;" H"</f>
        <v>0 H</v>
      </c>
      <c r="M12" s="26"/>
      <c r="N12" s="31"/>
    </row>
    <row r="13" customFormat="false" ht="15.75" hidden="false" customHeight="true" outlineLevel="0" collapsed="false">
      <c r="A13" s="3"/>
      <c r="B13" s="11" t="s">
        <v>21</v>
      </c>
      <c r="C13" s="16" t="n">
        <v>2026</v>
      </c>
      <c r="D13" s="16"/>
      <c r="E13" s="16"/>
      <c r="F13" s="8"/>
      <c r="G13" s="16"/>
      <c r="H13" s="16"/>
      <c r="I13" s="29"/>
      <c r="J13" s="29"/>
      <c r="K13" s="29"/>
      <c r="L13" s="30" t="str">
        <f aca="false">J13/50&amp;" H"</f>
        <v>0 H</v>
      </c>
      <c r="M13" s="26"/>
    </row>
    <row r="14" customFormat="false" ht="15.75" hidden="false" customHeight="true" outlineLevel="0" collapsed="false">
      <c r="A14" s="3"/>
      <c r="B14" s="11" t="s">
        <v>22</v>
      </c>
      <c r="C14" s="16"/>
      <c r="D14" s="16"/>
      <c r="E14" s="16"/>
      <c r="F14" s="8"/>
      <c r="G14" s="16"/>
      <c r="H14" s="16"/>
      <c r="I14" s="29"/>
      <c r="J14" s="29"/>
      <c r="K14" s="29"/>
      <c r="L14" s="30" t="str">
        <f aca="false">J14/50&amp;" H"</f>
        <v>0 H</v>
      </c>
      <c r="M14" s="32"/>
    </row>
    <row r="15" customFormat="false" ht="15.75" hidden="false" customHeight="true" outlineLevel="0" collapsed="false">
      <c r="A15" s="3"/>
      <c r="B15" s="11" t="s">
        <v>23</v>
      </c>
      <c r="C15" s="16"/>
      <c r="D15" s="16"/>
      <c r="E15" s="16"/>
      <c r="F15" s="8"/>
      <c r="G15" s="16"/>
      <c r="H15" s="16"/>
      <c r="I15" s="29"/>
      <c r="J15" s="29"/>
      <c r="K15" s="29"/>
      <c r="L15" s="30" t="str">
        <f aca="false">J15/50&amp;" H"</f>
        <v>0 H</v>
      </c>
      <c r="M15" s="3"/>
    </row>
    <row r="16" customFormat="false" ht="15.75" hidden="false" customHeight="true" outlineLevel="0" collapsed="false">
      <c r="A16" s="3"/>
      <c r="B16" s="11" t="s">
        <v>24</v>
      </c>
      <c r="C16" s="12"/>
      <c r="D16" s="12"/>
      <c r="E16" s="12"/>
      <c r="F16" s="8"/>
      <c r="G16" s="16"/>
      <c r="H16" s="16"/>
      <c r="I16" s="29"/>
      <c r="J16" s="29"/>
      <c r="K16" s="29"/>
      <c r="L16" s="30" t="str">
        <f aca="false">J16/50&amp;" H"</f>
        <v>0 H</v>
      </c>
      <c r="M16" s="3"/>
    </row>
    <row r="17" customFormat="false" ht="15.75" hidden="false" customHeight="true" outlineLevel="0" collapsed="false">
      <c r="A17" s="3"/>
      <c r="B17" s="8"/>
      <c r="C17" s="8"/>
      <c r="D17" s="8"/>
      <c r="E17" s="8"/>
      <c r="F17" s="8"/>
      <c r="G17" s="16"/>
      <c r="H17" s="16"/>
      <c r="I17" s="29"/>
      <c r="J17" s="29"/>
      <c r="K17" s="29"/>
      <c r="L17" s="30" t="str">
        <f aca="false">J17/50&amp;" H"</f>
        <v>0 H</v>
      </c>
      <c r="M17" s="3"/>
    </row>
    <row r="18" customFormat="false" ht="15.75" hidden="false" customHeight="true" outlineLevel="0" collapsed="false">
      <c r="A18" s="3"/>
      <c r="B18" s="33" t="s">
        <v>25</v>
      </c>
      <c r="C18" s="33"/>
      <c r="D18" s="33"/>
      <c r="E18" s="33"/>
      <c r="F18" s="8"/>
      <c r="G18" s="16"/>
      <c r="H18" s="16"/>
      <c r="I18" s="29"/>
      <c r="J18" s="29"/>
      <c r="K18" s="29"/>
      <c r="L18" s="30" t="str">
        <f aca="false">J18/50&amp;" H"</f>
        <v>0 H</v>
      </c>
      <c r="M18" s="3"/>
    </row>
    <row r="19" customFormat="false" ht="15.75" hidden="false" customHeight="true" outlineLevel="0" collapsed="false">
      <c r="A19" s="3"/>
      <c r="B19" s="19" t="s">
        <v>16</v>
      </c>
      <c r="C19" s="19"/>
      <c r="D19" s="19"/>
      <c r="E19" s="29"/>
      <c r="F19" s="8"/>
      <c r="G19" s="16"/>
      <c r="H19" s="16"/>
      <c r="I19" s="29"/>
      <c r="J19" s="29"/>
      <c r="K19" s="29"/>
      <c r="L19" s="30" t="str">
        <f aca="false">J19/50&amp;" H"</f>
        <v>0 H</v>
      </c>
      <c r="M19" s="3"/>
    </row>
    <row r="20" customFormat="false" ht="15.75" hidden="false" customHeight="true" outlineLevel="0" collapsed="false">
      <c r="A20" s="3"/>
      <c r="B20" s="34" t="s">
        <v>26</v>
      </c>
      <c r="C20" s="34"/>
      <c r="D20" s="34"/>
      <c r="E20" s="29"/>
      <c r="F20" s="8"/>
      <c r="G20" s="16"/>
      <c r="H20" s="16"/>
      <c r="I20" s="29"/>
      <c r="J20" s="29"/>
      <c r="K20" s="29"/>
      <c r="L20" s="30" t="str">
        <f aca="false">J20/50&amp;" H"</f>
        <v>0 H</v>
      </c>
      <c r="M20" s="3"/>
    </row>
    <row r="21" customFormat="false" ht="15.75" hidden="false" customHeight="true" outlineLevel="0" collapsed="false">
      <c r="A21" s="3"/>
      <c r="B21" s="34" t="s">
        <v>27</v>
      </c>
      <c r="C21" s="34"/>
      <c r="D21" s="34"/>
      <c r="E21" s="35"/>
      <c r="F21" s="8"/>
      <c r="G21" s="16"/>
      <c r="H21" s="16"/>
      <c r="I21" s="29"/>
      <c r="J21" s="29"/>
      <c r="K21" s="29"/>
      <c r="L21" s="30" t="str">
        <f aca="false">J21/50&amp;" H"</f>
        <v>0 H</v>
      </c>
      <c r="M21" s="3"/>
    </row>
    <row r="22" customFormat="false" ht="15.75" hidden="false" customHeight="true" outlineLevel="0" collapsed="false">
      <c r="A22" s="3"/>
      <c r="B22" s="19" t="s">
        <v>28</v>
      </c>
      <c r="C22" s="19"/>
      <c r="D22" s="19"/>
      <c r="E22" s="29"/>
      <c r="F22" s="8"/>
      <c r="G22" s="16"/>
      <c r="H22" s="16"/>
      <c r="I22" s="29"/>
      <c r="J22" s="29"/>
      <c r="K22" s="29"/>
      <c r="L22" s="30" t="str">
        <f aca="false">J22/50&amp;" H"</f>
        <v>0 H</v>
      </c>
      <c r="M22" s="3"/>
    </row>
    <row r="23" customFormat="false" ht="15.75" hidden="false" customHeight="true" outlineLevel="0" collapsed="false">
      <c r="A23" s="3"/>
      <c r="B23" s="34" t="s">
        <v>29</v>
      </c>
      <c r="C23" s="34"/>
      <c r="D23" s="34"/>
      <c r="E23" s="29"/>
      <c r="F23" s="8"/>
      <c r="G23" s="16"/>
      <c r="H23" s="16"/>
      <c r="I23" s="29"/>
      <c r="J23" s="29"/>
      <c r="K23" s="29"/>
      <c r="L23" s="30" t="str">
        <f aca="false">J23/50&amp;" H"</f>
        <v>0 H</v>
      </c>
      <c r="M23" s="3"/>
    </row>
    <row r="24" customFormat="false" ht="15.75" hidden="false" customHeight="true" outlineLevel="0" collapsed="false">
      <c r="A24" s="3"/>
      <c r="B24" s="34" t="s">
        <v>30</v>
      </c>
      <c r="C24" s="34"/>
      <c r="D24" s="34"/>
      <c r="E24" s="29"/>
      <c r="F24" s="8"/>
      <c r="G24" s="16"/>
      <c r="H24" s="16"/>
      <c r="I24" s="29"/>
      <c r="J24" s="29"/>
      <c r="K24" s="29"/>
      <c r="L24" s="30" t="str">
        <f aca="false">J24/50&amp;" H"</f>
        <v>0 H</v>
      </c>
      <c r="M24" s="3"/>
    </row>
    <row r="25" customFormat="false" ht="15.75" hidden="false" customHeight="true" outlineLevel="0" collapsed="false">
      <c r="A25" s="3"/>
      <c r="B25" s="34" t="s">
        <v>31</v>
      </c>
      <c r="C25" s="34"/>
      <c r="D25" s="34"/>
      <c r="E25" s="36" t="n">
        <f aca="false">IF(G4="CAMPING CAR",E24+K27+K45+790,E24+K27+K45+380)</f>
        <v>1180</v>
      </c>
      <c r="F25" s="8"/>
      <c r="G25" s="16"/>
      <c r="H25" s="16"/>
      <c r="I25" s="29"/>
      <c r="J25" s="29"/>
      <c r="K25" s="29"/>
      <c r="L25" s="30" t="str">
        <f aca="false">J25/50&amp;" H"</f>
        <v>0 H</v>
      </c>
      <c r="M25" s="3"/>
    </row>
    <row r="26" customFormat="false" ht="15.75" hidden="false" customHeight="true" outlineLevel="0" collapsed="false">
      <c r="A26" s="3"/>
      <c r="B26" s="19" t="s">
        <v>32</v>
      </c>
      <c r="C26" s="19"/>
      <c r="D26" s="19"/>
      <c r="E26" s="29"/>
      <c r="F26" s="8"/>
      <c r="G26" s="16"/>
      <c r="H26" s="16"/>
      <c r="I26" s="29"/>
      <c r="J26" s="29"/>
      <c r="K26" s="29"/>
      <c r="L26" s="30" t="str">
        <f aca="false">J26/50&amp;" H"</f>
        <v>0 H</v>
      </c>
      <c r="M26" s="3"/>
    </row>
    <row r="27" customFormat="false" ht="30" hidden="false" customHeight="true" outlineLevel="0" collapsed="false">
      <c r="A27" s="3"/>
      <c r="B27" s="34" t="s">
        <v>33</v>
      </c>
      <c r="C27" s="34"/>
      <c r="D27" s="37" t="n">
        <f aca="false">IF(E27=0,0,E27/E25)</f>
        <v>1</v>
      </c>
      <c r="E27" s="36" t="n">
        <f aca="false">IF(OR(E25=590,E25=380),0,E25-E26)</f>
        <v>1180</v>
      </c>
      <c r="F27" s="8"/>
      <c r="G27" s="38" t="s">
        <v>34</v>
      </c>
      <c r="H27" s="38"/>
      <c r="I27" s="39" t="n">
        <f aca="false">SUM(I12:I26)</f>
        <v>0</v>
      </c>
      <c r="J27" s="39" t="n">
        <f aca="false">SUM(J12:J26)</f>
        <v>0</v>
      </c>
      <c r="K27" s="39" t="n">
        <f aca="false">SUM(K12:K26)</f>
        <v>0</v>
      </c>
      <c r="L27" s="38" t="str">
        <f aca="false">J27/50&amp;" HEURES"</f>
        <v>0 HEURES</v>
      </c>
      <c r="M27" s="3"/>
    </row>
    <row r="28" customFormat="false" ht="15.75" hidden="false" customHeight="true" outlineLevel="0" collapsed="false">
      <c r="A28" s="3"/>
      <c r="B28" s="40"/>
      <c r="C28" s="40"/>
      <c r="D28" s="41" t="n">
        <f aca="false">IF(AND(G4="CAMPING CAR",C13=2027),12%,(IF(AND(G4="CAMPING CAR",C13=2026),11%,(IF(AND(G4="CAMPING CAR",C13=2025),8%,(IF(AND(G4="CAMPING CAR",C13="2024 &amp; &lt;"),"DESTOCKAGE",(IF(AND(G4="CARAVANE",C13=2026),14%,(IF(AND(G4="CARAVANE",C13=2025),12%,(IF(AND(G4="CARAVANE",C13=2024),10%,(IF(AND(G4="CARAVANE",C13="2023 &amp; &lt;"),"DESTOCKAGE",(IF(C13="DESTOCKAGE = VALIDATION","DESTOCKAGE","COLLECTION")))))))))))))))))</f>
        <v>0.11</v>
      </c>
      <c r="E28" s="42" t="n">
        <f aca="false">IFERROR((((E19)+(E20+E21+E22+E23+I4+I7+I27+J27+I45+J45))/(1-D28)*1.2),"DESTOCKAGE")</f>
        <v>1829.66292134831</v>
      </c>
      <c r="F28" s="8"/>
      <c r="G28" s="43"/>
      <c r="H28" s="43"/>
      <c r="I28" s="43"/>
      <c r="J28" s="43"/>
      <c r="K28" s="43"/>
      <c r="L28" s="43"/>
      <c r="M28" s="3"/>
    </row>
    <row r="29" customFormat="false" ht="30" hidden="false" customHeight="true" outlineLevel="0" collapsed="false">
      <c r="A29" s="3"/>
      <c r="B29" s="44" t="s">
        <v>35</v>
      </c>
      <c r="C29" s="44"/>
      <c r="D29" s="44"/>
      <c r="E29" s="45" t="n">
        <f aca="false">SUM(E30:E31)</f>
        <v>0</v>
      </c>
      <c r="F29" s="8"/>
      <c r="G29" s="46" t="s">
        <v>36</v>
      </c>
      <c r="H29" s="46"/>
      <c r="I29" s="46"/>
      <c r="J29" s="46"/>
      <c r="K29" s="46"/>
      <c r="L29" s="46"/>
      <c r="M29" s="3"/>
    </row>
    <row r="30" customFormat="false" ht="30" hidden="false" customHeight="true" outlineLevel="0" collapsed="false">
      <c r="A30" s="3"/>
      <c r="B30" s="11" t="s">
        <v>37</v>
      </c>
      <c r="C30" s="11"/>
      <c r="D30" s="11"/>
      <c r="E30" s="47" t="n">
        <f aca="false">IFERROR(IF(E19&gt;0,((E28/1.2)-(E19+E20+E21+E22+E23+I4+I7+I27+J27+I45+J45)),0),"DESTOCKAGE")</f>
        <v>0</v>
      </c>
      <c r="F30" s="8"/>
      <c r="G30" s="48" t="s">
        <v>38</v>
      </c>
      <c r="H30" s="48"/>
      <c r="I30" s="48" t="s">
        <v>39</v>
      </c>
      <c r="J30" s="48" t="s">
        <v>40</v>
      </c>
      <c r="K30" s="48" t="s">
        <v>18</v>
      </c>
      <c r="L30" s="48" t="s">
        <v>19</v>
      </c>
      <c r="M30" s="3"/>
    </row>
    <row r="31" customFormat="false" ht="15.75" hidden="false" customHeight="true" outlineLevel="0" collapsed="false">
      <c r="A31" s="3"/>
      <c r="B31" s="11" t="s">
        <v>41</v>
      </c>
      <c r="C31" s="11"/>
      <c r="D31" s="11"/>
      <c r="E31" s="47" t="n">
        <f aca="false">IF(E19&gt;0,(E25)*0.3*0.06,0)</f>
        <v>0</v>
      </c>
      <c r="F31" s="8"/>
      <c r="G31" s="49" t="s">
        <v>42</v>
      </c>
      <c r="H31" s="49"/>
      <c r="I31" s="50" t="n">
        <f aca="false">IF(G4="CAMPING CAR",600,0)</f>
        <v>600</v>
      </c>
      <c r="J31" s="51"/>
      <c r="K31" s="51"/>
      <c r="L31" s="52" t="str">
        <f aca="false">J31/50&amp;" H"</f>
        <v>0 H</v>
      </c>
      <c r="M31" s="3"/>
    </row>
    <row r="32" customFormat="false" ht="15.75" hidden="false" customHeight="true" outlineLevel="0" collapsed="false">
      <c r="A32" s="3"/>
      <c r="B32" s="40"/>
      <c r="C32" s="40"/>
      <c r="D32" s="40"/>
      <c r="E32" s="40"/>
      <c r="F32" s="8"/>
      <c r="G32" s="53" t="str">
        <f aca="false">IF(G7="PAS D'EXPO","PAS D'EXPO",IF(G7="EXPO DE L'ANNEE (OU CARAVANE)","EXPO DE L'ANNEE (OU CARAVANE) (+ 1H MO)",IF(G7="EXPO 1 AN","EXPO 1 AN (+ Vidange sans filtre et 2H MO)","EXPO 2 ANS (+ Vidange avec filtre à huile, Chgt de batterie et 3H MO)")))</f>
        <v>PAS D'EXPO</v>
      </c>
      <c r="H32" s="53"/>
      <c r="I32" s="50" t="n">
        <f aca="false">IF(G7="PAS D'EXPO",0,IF(G7="EXPO DE L'ANNEE (OU CARAVANE)",0,IF(G7="EXPO 1 AN",50,342)))</f>
        <v>0</v>
      </c>
      <c r="J32" s="50" t="n">
        <f aca="false">IF(G7="PAS D'EXPO",0,IF(G7="EXPO DE L'ANNEE (OU CARAVANE)",50,IF(G7="EXPO 1 AN",100,200)))</f>
        <v>0</v>
      </c>
      <c r="K32" s="54"/>
      <c r="L32" s="55" t="str">
        <f aca="false">J32/50&amp;" H"</f>
        <v>0 H</v>
      </c>
      <c r="M32" s="3"/>
    </row>
    <row r="33" customFormat="false" ht="15.75" hidden="false" customHeight="true" outlineLevel="0" collapsed="false">
      <c r="A33" s="3"/>
      <c r="B33" s="56" t="s">
        <v>43</v>
      </c>
      <c r="C33" s="56"/>
      <c r="D33" s="56"/>
      <c r="E33" s="57" t="n">
        <f aca="false">SUM(E34:E35)</f>
        <v>0</v>
      </c>
      <c r="F33" s="8"/>
      <c r="G33" s="16" t="s">
        <v>44</v>
      </c>
      <c r="H33" s="16"/>
      <c r="I33" s="29" t="n">
        <f aca="false">IF(G33="Camping car avec batterie",0,IF(G33="Batterie gel 105Ah",192,384))</f>
        <v>192</v>
      </c>
      <c r="J33" s="29" t="n">
        <f aca="false">IF(G33="Camping car avec batterie",0,IF(G33="Batterie gel 105Ah",50,150))</f>
        <v>50</v>
      </c>
      <c r="K33" s="29" t="n">
        <f aca="false">IF(G33="Camping car avec batterie",0,IF(G33="Batterie gel 105Ah",390,890))</f>
        <v>390</v>
      </c>
      <c r="L33" s="58" t="str">
        <f aca="false">J33/50&amp;" H"</f>
        <v>1 H</v>
      </c>
      <c r="M33" s="3"/>
    </row>
    <row r="34" customFormat="false" ht="15.75" hidden="false" customHeight="true" outlineLevel="0" collapsed="false">
      <c r="A34" s="3"/>
      <c r="B34" s="59" t="s">
        <v>45</v>
      </c>
      <c r="C34" s="59"/>
      <c r="D34" s="37" t="n">
        <f aca="false">IF(E26=0,0,E34/(E26/1.2))</f>
        <v>0</v>
      </c>
      <c r="E34" s="60" t="n">
        <f aca="false">IF(E19&gt;0,((E26/1.2)-E23-E22-E21-E20-E19-I27-J27-I45-J45-I4-I7),0)</f>
        <v>0</v>
      </c>
      <c r="F34" s="8"/>
      <c r="G34" s="61" t="s">
        <v>46</v>
      </c>
      <c r="H34" s="61"/>
      <c r="I34" s="29" t="n">
        <v>180</v>
      </c>
      <c r="J34" s="54"/>
      <c r="K34" s="54"/>
      <c r="L34" s="55" t="str">
        <f aca="false">J34/50&amp;" H"</f>
        <v>0 H</v>
      </c>
      <c r="M34" s="3"/>
    </row>
    <row r="35" customFormat="false" ht="15.75" hidden="false" customHeight="true" outlineLevel="0" collapsed="false">
      <c r="A35" s="3"/>
      <c r="B35" s="59" t="s">
        <v>41</v>
      </c>
      <c r="C35" s="59"/>
      <c r="D35" s="59"/>
      <c r="E35" s="60" t="n">
        <f aca="false">E40*0.06</f>
        <v>0</v>
      </c>
      <c r="F35" s="8"/>
      <c r="G35" s="38"/>
      <c r="H35" s="38"/>
      <c r="I35" s="62"/>
      <c r="J35" s="62"/>
      <c r="K35" s="62"/>
      <c r="L35" s="55" t="str">
        <f aca="false">J35/50&amp;" H"</f>
        <v>0 H</v>
      </c>
      <c r="M35" s="3"/>
    </row>
    <row r="36" customFormat="false" ht="15.75" hidden="false" customHeight="true" outlineLevel="0" collapsed="false">
      <c r="A36" s="3"/>
      <c r="B36" s="8"/>
      <c r="C36" s="8"/>
      <c r="D36" s="8"/>
      <c r="E36" s="8"/>
      <c r="F36" s="8"/>
      <c r="G36" s="63"/>
      <c r="H36" s="63"/>
      <c r="I36" s="29"/>
      <c r="J36" s="29"/>
      <c r="K36" s="29"/>
      <c r="L36" s="58" t="str">
        <f aca="false">J36/50&amp;" H"</f>
        <v>0 H</v>
      </c>
      <c r="M36" s="3"/>
    </row>
    <row r="37" customFormat="false" ht="15.75" hidden="false" customHeight="true" outlineLevel="0" collapsed="false">
      <c r="A37" s="3"/>
      <c r="B37" s="7" t="s">
        <v>47</v>
      </c>
      <c r="C37" s="7"/>
      <c r="D37" s="7"/>
      <c r="E37" s="7"/>
      <c r="F37" s="8"/>
      <c r="G37" s="63"/>
      <c r="H37" s="63"/>
      <c r="I37" s="29"/>
      <c r="J37" s="29"/>
      <c r="K37" s="29"/>
      <c r="L37" s="58" t="str">
        <f aca="false">J37/50&amp;" H"</f>
        <v>0 H</v>
      </c>
      <c r="M37" s="3"/>
    </row>
    <row r="38" customFormat="false" ht="15.75" hidden="false" customHeight="true" outlineLevel="0" collapsed="false">
      <c r="A38" s="3"/>
      <c r="B38" s="11" t="s">
        <v>47</v>
      </c>
      <c r="C38" s="11"/>
      <c r="D38" s="11"/>
      <c r="E38" s="64" t="s">
        <v>48</v>
      </c>
      <c r="F38" s="8"/>
      <c r="G38" s="63"/>
      <c r="H38" s="63"/>
      <c r="I38" s="29"/>
      <c r="J38" s="29"/>
      <c r="K38" s="29"/>
      <c r="L38" s="58" t="str">
        <f aca="false">J38/50&amp;" H"</f>
        <v>0 H</v>
      </c>
      <c r="M38" s="3"/>
    </row>
    <row r="39" customFormat="false" ht="15.75" hidden="false" customHeight="true" outlineLevel="0" collapsed="false">
      <c r="A39" s="3"/>
      <c r="B39" s="11" t="s">
        <v>49</v>
      </c>
      <c r="C39" s="11"/>
      <c r="D39" s="11"/>
      <c r="E39" s="16"/>
      <c r="F39" s="8"/>
      <c r="G39" s="63"/>
      <c r="H39" s="63"/>
      <c r="I39" s="29"/>
      <c r="J39" s="29"/>
      <c r="K39" s="29"/>
      <c r="L39" s="58" t="str">
        <f aca="false">J39/50&amp;" H"</f>
        <v>0 H</v>
      </c>
      <c r="M39" s="3"/>
    </row>
    <row r="40" customFormat="false" ht="15.75" hidden="false" customHeight="true" outlineLevel="0" collapsed="false">
      <c r="A40" s="3"/>
      <c r="B40" s="11" t="s">
        <v>50</v>
      </c>
      <c r="C40" s="11"/>
      <c r="D40" s="11"/>
      <c r="E40" s="29"/>
      <c r="F40" s="8"/>
      <c r="G40" s="63"/>
      <c r="H40" s="63"/>
      <c r="I40" s="29"/>
      <c r="J40" s="29"/>
      <c r="K40" s="29"/>
      <c r="L40" s="58" t="str">
        <f aca="false">J40/50&amp;" H"</f>
        <v>0 H</v>
      </c>
      <c r="M40" s="3"/>
    </row>
    <row r="41" customFormat="false" ht="15.75" hidden="false" customHeight="true" outlineLevel="0" collapsed="false">
      <c r="A41" s="3"/>
      <c r="B41" s="65"/>
      <c r="C41" s="65"/>
      <c r="D41" s="65"/>
      <c r="E41" s="66"/>
      <c r="F41" s="8"/>
      <c r="G41" s="63"/>
      <c r="H41" s="63"/>
      <c r="I41" s="29"/>
      <c r="J41" s="29"/>
      <c r="K41" s="29"/>
      <c r="L41" s="58" t="str">
        <f aca="false">J41/50&amp;" H"</f>
        <v>0 H</v>
      </c>
      <c r="M41" s="3"/>
    </row>
    <row r="42" customFormat="false" ht="15.75" hidden="false" customHeight="true" outlineLevel="0" collapsed="false">
      <c r="A42" s="3"/>
      <c r="B42" s="7" t="s">
        <v>51</v>
      </c>
      <c r="C42" s="7"/>
      <c r="D42" s="7"/>
      <c r="E42" s="7"/>
      <c r="F42" s="8"/>
      <c r="G42" s="63"/>
      <c r="H42" s="63"/>
      <c r="I42" s="29"/>
      <c r="J42" s="29"/>
      <c r="K42" s="29"/>
      <c r="L42" s="58" t="str">
        <f aca="false">J42/50&amp;" H"</f>
        <v>0 H</v>
      </c>
      <c r="M42" s="3"/>
    </row>
    <row r="43" customFormat="false" ht="15.75" hidden="false" customHeight="true" outlineLevel="0" collapsed="false">
      <c r="A43" s="3"/>
      <c r="B43" s="11" t="s">
        <v>51</v>
      </c>
      <c r="C43" s="11"/>
      <c r="D43" s="11"/>
      <c r="E43" s="64" t="s">
        <v>52</v>
      </c>
      <c r="F43" s="8"/>
      <c r="G43" s="63"/>
      <c r="H43" s="63"/>
      <c r="I43" s="29"/>
      <c r="J43" s="29"/>
      <c r="K43" s="29"/>
      <c r="L43" s="58" t="str">
        <f aca="false">J43/50&amp;" H"</f>
        <v>0 H</v>
      </c>
      <c r="M43" s="3"/>
    </row>
    <row r="44" customFormat="false" ht="15.75" hidden="false" customHeight="true" outlineLevel="0" collapsed="false">
      <c r="A44" s="3"/>
      <c r="B44" s="11" t="s">
        <v>53</v>
      </c>
      <c r="C44" s="11"/>
      <c r="D44" s="11"/>
      <c r="E44" s="29"/>
      <c r="F44" s="8"/>
      <c r="G44" s="63"/>
      <c r="H44" s="63"/>
      <c r="I44" s="29"/>
      <c r="J44" s="29"/>
      <c r="K44" s="29"/>
      <c r="L44" s="58" t="str">
        <f aca="false">J44/50&amp;" H"</f>
        <v>0 H</v>
      </c>
      <c r="M44" s="3"/>
    </row>
    <row r="45" customFormat="false" ht="30" hidden="false" customHeight="true" outlineLevel="0" collapsed="false">
      <c r="A45" s="3"/>
      <c r="B45" s="11" t="s">
        <v>54</v>
      </c>
      <c r="C45" s="11"/>
      <c r="D45" s="11"/>
      <c r="E45" s="67"/>
      <c r="F45" s="8"/>
      <c r="G45" s="38" t="s">
        <v>34</v>
      </c>
      <c r="H45" s="38"/>
      <c r="I45" s="39" t="n">
        <f aca="false">SUM(I31:I44)</f>
        <v>972</v>
      </c>
      <c r="J45" s="39" t="n">
        <f aca="false">SUM(J31:J44)</f>
        <v>50</v>
      </c>
      <c r="K45" s="39" t="n">
        <f aca="false">SUM(K31:K44)</f>
        <v>390</v>
      </c>
      <c r="L45" s="38" t="str">
        <f aca="false">J45/50&amp;" HEURES"</f>
        <v>1 HEURES</v>
      </c>
      <c r="M45" s="3"/>
    </row>
    <row r="46" s="1" customFormat="true" ht="15.75" hidden="false" customHeight="true" outlineLevel="0" collapsed="false">
      <c r="A46" s="3"/>
      <c r="B46" s="68"/>
      <c r="C46" s="68"/>
      <c r="D46" s="68"/>
      <c r="E46" s="68"/>
      <c r="F46" s="8"/>
      <c r="G46" s="8"/>
      <c r="H46" s="8"/>
      <c r="I46" s="8"/>
      <c r="J46" s="8"/>
      <c r="K46" s="8"/>
      <c r="L46" s="8"/>
      <c r="M46" s="3"/>
    </row>
    <row r="47" s="1" customFormat="true" ht="15.75" hidden="false" customHeight="true" outlineLevel="0" collapsed="false">
      <c r="A47" s="3"/>
      <c r="B47" s="69" t="s">
        <v>55</v>
      </c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3"/>
    </row>
    <row r="48" s="1" customFormat="true" ht="15.75" hidden="false" customHeight="true" outlineLevel="0" collapsed="false">
      <c r="A48" s="3"/>
      <c r="B48" s="70" t="s">
        <v>56</v>
      </c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3"/>
    </row>
    <row r="49" s="1" customFormat="true" ht="15.75" hidden="false" customHeight="true" outlineLevel="0" collapsed="false">
      <c r="A49" s="3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3"/>
    </row>
    <row r="50" s="1" customFormat="true" ht="15.75" hidden="false" customHeight="true" outlineLevel="0" collapsed="false">
      <c r="A50" s="3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3"/>
    </row>
    <row r="51" s="1" customFormat="true" ht="15.75" hidden="false" customHeight="true" outlineLevel="0" collapsed="false">
      <c r="A51" s="3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3"/>
    </row>
    <row r="52" s="1" customFormat="true" ht="15.75" hidden="false" customHeight="true" outlineLevel="0" collapsed="false">
      <c r="A52" s="3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3"/>
    </row>
    <row r="53" s="1" customFormat="true" ht="15.75" hidden="false" customHeight="true" outlineLevel="0" collapsed="false">
      <c r="A53" s="3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3"/>
    </row>
    <row r="54" s="1" customFormat="true" ht="15.75" hidden="false" customHeight="true" outlineLevel="0" collapsed="false">
      <c r="A54" s="3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3"/>
    </row>
    <row r="55" s="1" customFormat="true" ht="15.75" hidden="false" customHeight="true" outlineLevel="0" collapsed="false">
      <c r="A55" s="3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3"/>
    </row>
    <row r="56" s="1" customFormat="true" ht="15.75" hidden="false" customHeight="true" outlineLevel="0" collapsed="false">
      <c r="A56" s="3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3"/>
    </row>
    <row r="57" s="1" customFormat="true" ht="15.75" hidden="false" customHeight="true" outlineLevel="0" collapsed="false">
      <c r="A57" s="3"/>
      <c r="B57" s="70" t="s">
        <v>57</v>
      </c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3"/>
    </row>
    <row r="58" s="1" customFormat="true" ht="15.75" hidden="false" customHeight="true" outlineLevel="0" collapsed="false">
      <c r="A58" s="3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3"/>
    </row>
    <row r="59" s="1" customFormat="true" ht="15.75" hidden="false" customHeight="true" outlineLevel="0" collapsed="false">
      <c r="A59" s="3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3"/>
    </row>
    <row r="60" s="1" customFormat="true" ht="15.75" hidden="false" customHeight="true" outlineLevel="0" collapsed="false">
      <c r="A60" s="3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3"/>
    </row>
    <row r="61" s="1" customFormat="true" ht="15.75" hidden="false" customHeight="true" outlineLevel="0" collapsed="false">
      <c r="A61" s="3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3"/>
    </row>
    <row r="62" customFormat="false" ht="15.75" hidden="false" customHeight="true" outlineLevel="0" collapsed="false">
      <c r="A62" s="3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3"/>
    </row>
    <row r="63" customFormat="false" ht="15.75" hidden="false" customHeight="true" outlineLevel="0" collapsed="false">
      <c r="A63" s="3"/>
      <c r="B63" s="70" t="s">
        <v>58</v>
      </c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3"/>
    </row>
    <row r="64" customFormat="false" ht="15.75" hidden="false" customHeight="true" outlineLevel="0" collapsed="false">
      <c r="A64" s="3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3"/>
    </row>
    <row r="65" customFormat="false" ht="15.75" hidden="false" customHeight="true" outlineLevel="0" collapsed="false">
      <c r="A65" s="3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3"/>
    </row>
    <row r="66" customFormat="false" ht="15.75" hidden="false" customHeight="true" outlineLevel="0" collapsed="false">
      <c r="A66" s="3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3"/>
    </row>
    <row r="67" customFormat="false" ht="15.75" hidden="false" customHeight="true" outlineLevel="0" collapsed="false">
      <c r="A67" s="3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3"/>
    </row>
    <row r="68" customFormat="false" ht="15.75" hidden="false" customHeight="true" outlineLevel="0" collapsed="false">
      <c r="A68" s="3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3"/>
    </row>
    <row r="69" customFormat="false" ht="15.75" hidden="false" customHeight="true" outlineLevel="0" collapsed="false">
      <c r="A69" s="3"/>
      <c r="B69" s="7" t="s">
        <v>59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3"/>
    </row>
    <row r="70" customFormat="false" ht="30" hidden="false" customHeight="true" outlineLevel="0" collapsed="false">
      <c r="A70" s="3"/>
      <c r="B70" s="38" t="s">
        <v>60</v>
      </c>
      <c r="C70" s="38"/>
      <c r="D70" s="38"/>
      <c r="E70" s="38"/>
      <c r="F70" s="38"/>
      <c r="G70" s="48" t="s">
        <v>61</v>
      </c>
      <c r="H70" s="48" t="s">
        <v>62</v>
      </c>
      <c r="I70" s="48" t="s">
        <v>63</v>
      </c>
      <c r="J70" s="48" t="s">
        <v>64</v>
      </c>
      <c r="K70" s="48" t="s">
        <v>65</v>
      </c>
      <c r="L70" s="48"/>
      <c r="M70" s="3"/>
    </row>
    <row r="71" customFormat="false" ht="18" hidden="false" customHeight="true" outlineLevel="0" collapsed="false">
      <c r="A71" s="3"/>
      <c r="B71" s="16"/>
      <c r="C71" s="16"/>
      <c r="D71" s="16"/>
      <c r="E71" s="16"/>
      <c r="F71" s="16"/>
      <c r="G71" s="72"/>
      <c r="H71" s="73"/>
      <c r="I71" s="73"/>
      <c r="J71" s="73"/>
      <c r="K71" s="16"/>
      <c r="L71" s="16"/>
      <c r="M71" s="3"/>
    </row>
    <row r="72" customFormat="false" ht="18" hidden="false" customHeight="true" outlineLevel="0" collapsed="false">
      <c r="A72" s="3"/>
      <c r="B72" s="16"/>
      <c r="C72" s="16"/>
      <c r="D72" s="16"/>
      <c r="E72" s="16"/>
      <c r="F72" s="16"/>
      <c r="G72" s="72"/>
      <c r="H72" s="73"/>
      <c r="I72" s="73"/>
      <c r="J72" s="73"/>
      <c r="K72" s="16"/>
      <c r="L72" s="16"/>
      <c r="M72" s="3"/>
    </row>
    <row r="73" customFormat="false" ht="18" hidden="false" customHeight="true" outlineLevel="0" collapsed="false">
      <c r="A73" s="3"/>
      <c r="B73" s="16"/>
      <c r="C73" s="16"/>
      <c r="D73" s="16"/>
      <c r="E73" s="16"/>
      <c r="F73" s="16"/>
      <c r="G73" s="72"/>
      <c r="H73" s="73"/>
      <c r="I73" s="73"/>
      <c r="J73" s="73"/>
      <c r="K73" s="16"/>
      <c r="L73" s="16"/>
      <c r="M73" s="3"/>
    </row>
    <row r="74" customFormat="false" ht="18" hidden="false" customHeight="true" outlineLevel="0" collapsed="false">
      <c r="A74" s="3"/>
      <c r="B74" s="16"/>
      <c r="C74" s="16"/>
      <c r="D74" s="16"/>
      <c r="E74" s="16"/>
      <c r="F74" s="16"/>
      <c r="G74" s="72"/>
      <c r="H74" s="73"/>
      <c r="I74" s="73"/>
      <c r="J74" s="73"/>
      <c r="K74" s="16"/>
      <c r="L74" s="16"/>
      <c r="M74" s="3"/>
    </row>
    <row r="75" customFormat="false" ht="18" hidden="false" customHeight="true" outlineLevel="0" collapsed="false">
      <c r="A75" s="3"/>
      <c r="B75" s="16"/>
      <c r="C75" s="16"/>
      <c r="D75" s="16"/>
      <c r="E75" s="16"/>
      <c r="F75" s="16"/>
      <c r="G75" s="72"/>
      <c r="H75" s="73"/>
      <c r="I75" s="73"/>
      <c r="J75" s="73"/>
      <c r="K75" s="16"/>
      <c r="L75" s="16"/>
      <c r="M75" s="3"/>
    </row>
    <row r="76" customFormat="false" ht="18" hidden="false" customHeight="true" outlineLevel="0" collapsed="false">
      <c r="A76" s="3"/>
      <c r="B76" s="16"/>
      <c r="C76" s="16"/>
      <c r="D76" s="16"/>
      <c r="E76" s="16"/>
      <c r="F76" s="16"/>
      <c r="G76" s="72"/>
      <c r="H76" s="73"/>
      <c r="I76" s="73"/>
      <c r="J76" s="73"/>
      <c r="K76" s="16"/>
      <c r="L76" s="16"/>
      <c r="M76" s="3"/>
    </row>
    <row r="77" customFormat="false" ht="18" hidden="false" customHeight="true" outlineLevel="0" collapsed="false">
      <c r="B77" s="16"/>
      <c r="C77" s="16"/>
      <c r="D77" s="16"/>
      <c r="E77" s="16"/>
      <c r="F77" s="16"/>
      <c r="G77" s="72"/>
      <c r="H77" s="73"/>
      <c r="I77" s="73"/>
      <c r="J77" s="73"/>
      <c r="K77" s="16"/>
      <c r="L77" s="16"/>
    </row>
    <row r="78" customFormat="false" ht="18" hidden="false" customHeight="true" outlineLevel="0" collapsed="false">
      <c r="B78" s="16"/>
      <c r="C78" s="16"/>
      <c r="D78" s="16"/>
      <c r="E78" s="16"/>
      <c r="F78" s="16"/>
      <c r="G78" s="72"/>
      <c r="H78" s="73"/>
      <c r="I78" s="73"/>
      <c r="J78" s="73"/>
      <c r="K78" s="16"/>
      <c r="L78" s="16"/>
    </row>
    <row r="79" customFormat="false" ht="18" hidden="false" customHeight="true" outlineLevel="0" collapsed="false">
      <c r="B79" s="16"/>
      <c r="C79" s="16"/>
      <c r="D79" s="16"/>
      <c r="E79" s="16"/>
      <c r="F79" s="16"/>
      <c r="G79" s="72"/>
      <c r="H79" s="73"/>
      <c r="I79" s="73"/>
      <c r="J79" s="73"/>
      <c r="K79" s="16"/>
      <c r="L79" s="16"/>
    </row>
    <row r="80" customFormat="false" ht="28.5" hidden="false" customHeight="true" outlineLevel="0" collapsed="false"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3"/>
    </row>
  </sheetData>
  <sheetProtection algorithmName="SHA-512" hashValue="/wASsvoG9ayEzy/K9A7oaH8PogacoeBCd3q3uhpfLFA16Psyob4yPcsnQRSVZgAACnBfy4yQ6tDOJ9f8yom1Eg==" saltValue="iTZIbkeq8sPouSavm75XUQ==" spinCount="100000" sheet="true" formatCells="false" formatColumns="false" formatRows="false"/>
  <mergeCells count="130">
    <mergeCell ref="B1:G1"/>
    <mergeCell ref="H1:L1"/>
    <mergeCell ref="B3:E3"/>
    <mergeCell ref="G3:H3"/>
    <mergeCell ref="I3:L3"/>
    <mergeCell ref="C4:E4"/>
    <mergeCell ref="G4:H5"/>
    <mergeCell ref="I4:J5"/>
    <mergeCell ref="K4:L5"/>
    <mergeCell ref="C5:E5"/>
    <mergeCell ref="C6:E6"/>
    <mergeCell ref="G6:H6"/>
    <mergeCell ref="I6:L6"/>
    <mergeCell ref="C7:E7"/>
    <mergeCell ref="G7:H8"/>
    <mergeCell ref="I7:J8"/>
    <mergeCell ref="K7:L8"/>
    <mergeCell ref="C8:E8"/>
    <mergeCell ref="G9:K9"/>
    <mergeCell ref="B10:E10"/>
    <mergeCell ref="G10:L10"/>
    <mergeCell ref="C11:E11"/>
    <mergeCell ref="G11:H11"/>
    <mergeCell ref="C12:E12"/>
    <mergeCell ref="G12:H12"/>
    <mergeCell ref="C13:E13"/>
    <mergeCell ref="G13:H13"/>
    <mergeCell ref="C14:E14"/>
    <mergeCell ref="G14:H14"/>
    <mergeCell ref="C15:E15"/>
    <mergeCell ref="G15:H15"/>
    <mergeCell ref="C16:E16"/>
    <mergeCell ref="G16:H16"/>
    <mergeCell ref="G17:H17"/>
    <mergeCell ref="B18:E18"/>
    <mergeCell ref="G18:H18"/>
    <mergeCell ref="B19:D19"/>
    <mergeCell ref="G19:H19"/>
    <mergeCell ref="B20:D20"/>
    <mergeCell ref="G20:H20"/>
    <mergeCell ref="B21:D21"/>
    <mergeCell ref="G21:H21"/>
    <mergeCell ref="B22:D22"/>
    <mergeCell ref="G22:H22"/>
    <mergeCell ref="B23:D23"/>
    <mergeCell ref="G23:H23"/>
    <mergeCell ref="B24:D24"/>
    <mergeCell ref="G24:H24"/>
    <mergeCell ref="B25:D25"/>
    <mergeCell ref="G25:H25"/>
    <mergeCell ref="B26:D26"/>
    <mergeCell ref="G26:H26"/>
    <mergeCell ref="B27:C27"/>
    <mergeCell ref="G27:H27"/>
    <mergeCell ref="B29:D29"/>
    <mergeCell ref="G29:L29"/>
    <mergeCell ref="B30:D30"/>
    <mergeCell ref="G30:H30"/>
    <mergeCell ref="B31:D31"/>
    <mergeCell ref="G31:H31"/>
    <mergeCell ref="G32:H32"/>
    <mergeCell ref="B33:D33"/>
    <mergeCell ref="G33:H33"/>
    <mergeCell ref="B34:C34"/>
    <mergeCell ref="G34:H34"/>
    <mergeCell ref="B35:D35"/>
    <mergeCell ref="G35:H35"/>
    <mergeCell ref="G36:H36"/>
    <mergeCell ref="B37:E37"/>
    <mergeCell ref="G37:H37"/>
    <mergeCell ref="B38:D38"/>
    <mergeCell ref="G38:H38"/>
    <mergeCell ref="B39:D39"/>
    <mergeCell ref="G39:H39"/>
    <mergeCell ref="B40:D40"/>
    <mergeCell ref="G40:H40"/>
    <mergeCell ref="B41:D41"/>
    <mergeCell ref="G41:H41"/>
    <mergeCell ref="B42:E42"/>
    <mergeCell ref="G42:H42"/>
    <mergeCell ref="B43:D43"/>
    <mergeCell ref="G43:H43"/>
    <mergeCell ref="B44:D44"/>
    <mergeCell ref="G44:H44"/>
    <mergeCell ref="B45:D45"/>
    <mergeCell ref="G45:H45"/>
    <mergeCell ref="B46:E46"/>
    <mergeCell ref="B47:L47"/>
    <mergeCell ref="B48:L48"/>
    <mergeCell ref="B49:L49"/>
    <mergeCell ref="B50:L50"/>
    <mergeCell ref="B51:L51"/>
    <mergeCell ref="B52:L52"/>
    <mergeCell ref="B53:L53"/>
    <mergeCell ref="B54:L54"/>
    <mergeCell ref="B55:L55"/>
    <mergeCell ref="B56:L56"/>
    <mergeCell ref="B57:L57"/>
    <mergeCell ref="B58:L58"/>
    <mergeCell ref="B59:L59"/>
    <mergeCell ref="B60:L60"/>
    <mergeCell ref="B61:L61"/>
    <mergeCell ref="B62:L62"/>
    <mergeCell ref="B63:L63"/>
    <mergeCell ref="B64:L64"/>
    <mergeCell ref="B65:L65"/>
    <mergeCell ref="B66:L66"/>
    <mergeCell ref="B67:L67"/>
    <mergeCell ref="B68:L68"/>
    <mergeCell ref="B69:L69"/>
    <mergeCell ref="B70:F70"/>
    <mergeCell ref="K70:L70"/>
    <mergeCell ref="B71:F71"/>
    <mergeCell ref="K71:L71"/>
    <mergeCell ref="B72:F72"/>
    <mergeCell ref="K72:L72"/>
    <mergeCell ref="B73:F73"/>
    <mergeCell ref="K73:L73"/>
    <mergeCell ref="B74:F74"/>
    <mergeCell ref="K74:L74"/>
    <mergeCell ref="B75:F75"/>
    <mergeCell ref="K75:L75"/>
    <mergeCell ref="B76:F76"/>
    <mergeCell ref="K76:L76"/>
    <mergeCell ref="B77:F77"/>
    <mergeCell ref="K77:L77"/>
    <mergeCell ref="B78:F78"/>
    <mergeCell ref="K78:L78"/>
    <mergeCell ref="B79:F79"/>
    <mergeCell ref="K79:L79"/>
  </mergeCells>
  <conditionalFormatting sqref="B33:E33">
    <cfRule type="expression" priority="2" aboveAverage="0" equalAverage="0" bottom="0" percent="0" rank="0" text="" dxfId="0">
      <formula>$E$33&gt;$E$29</formula>
    </cfRule>
    <cfRule type="expression" priority="3" aboveAverage="0" equalAverage="0" bottom="0" percent="0" rank="0" text="" dxfId="1">
      <formula>$E$33&gt;$E$29</formula>
    </cfRule>
  </conditionalFormatting>
  <dataValidations count="7">
    <dataValidation allowBlank="true" errorStyle="stop" operator="between" showDropDown="false" showErrorMessage="true" showInputMessage="true" sqref="E39" type="list">
      <formula1>"CETELEM,FINANCO,LOISIRS FI,SANTANDER,VIAXEL"</formula1>
      <formula2>0</formula2>
    </dataValidation>
    <dataValidation allowBlank="true" errorStyle="stop" operator="between" showDropDown="false" showErrorMessage="true" showInputMessage="true" sqref="E38 E43" type="list">
      <formula1>OUINON</formula1>
      <formula2>0</formula2>
    </dataValidation>
    <dataValidation allowBlank="true" errorStyle="stop" operator="between" showDropDown="false" showErrorMessage="true" showInputMessage="true" sqref="C14:E14" type="list">
      <formula1>"STOCK,REASSORT,COMMANDE"</formula1>
      <formula2>0</formula2>
    </dataValidation>
    <dataValidation allowBlank="true" errorStyle="stop" operator="between" showDropDown="false" showErrorMessage="true" showInputMessage="true" sqref="G4" type="list">
      <formula1>"CAMPING CAR,CARAVANE"</formula1>
      <formula2>0</formula2>
    </dataValidation>
    <dataValidation allowBlank="true" errorStyle="stop" operator="between" showDropDown="false" showErrorMessage="true" showInputMessage="true" sqref="G7:H8" type="list">
      <formula1>"PAS D'EXPO,EXPO DE L'ANNEE (OU CARAVANE),EXPO 1 AN,EXPO 2 ANS"</formula1>
      <formula2>0</formula2>
    </dataValidation>
    <dataValidation allowBlank="true" errorStyle="stop" operator="between" showDropDown="false" showErrorMessage="true" showInputMessage="true" sqref="G33:H33" type="list">
      <formula1>"Camping car avec batterie,Batterie gel 105Ah,Pack 2 batteries gel 105Ah (incluant cosses et câblage supplémentaires)"</formula1>
      <formula2>0</formula2>
    </dataValidation>
    <dataValidation allowBlank="true" errorStyle="stop" operator="between" showDropDown="false" showErrorMessage="true" showInputMessage="true" sqref="C13:E13" type="list">
      <formula1>"2027,2026,2025,2024 &amp; &lt; = DESTOCKAGE"</formula1>
      <formula2>0</formula2>
    </dataValidation>
  </dataValidations>
  <printOptions headings="false" gridLines="false" gridLinesSet="true" horizontalCentered="true" verticalCentered="true"/>
  <pageMargins left="0.3" right="0.3" top="0.4" bottom="0.4" header="0.511811023622047" footer="0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&amp;L&amp;F&amp;CRENTA VN&amp;R&amp;D &amp;T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10.6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</cols>
  <sheetData>
    <row r="3" customFormat="false" ht="15" hidden="false" customHeight="false" outlineLevel="0" collapsed="false">
      <c r="A3" s="75" t="s">
        <v>48</v>
      </c>
      <c r="B3" s="71" t="s">
        <v>66</v>
      </c>
    </row>
    <row r="4" customFormat="false" ht="15" hidden="false" customHeight="false" outlineLevel="0" collapsed="false">
      <c r="A4" s="75" t="s">
        <v>52</v>
      </c>
      <c r="B4" s="71" t="s">
        <v>67</v>
      </c>
    </row>
    <row r="5" customFormat="false" ht="15" hidden="false" customHeight="false" outlineLevel="0" collapsed="false">
      <c r="A5" s="75" t="s">
        <v>68</v>
      </c>
      <c r="B5" s="71" t="s">
        <v>69</v>
      </c>
    </row>
  </sheetData>
  <sheetProtection sheet="true" formatCells="false" formatColumns="false" formatRows="fals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2008-06-14T10:38:41Z</dcterms:created>
  <dc:creator>thomas</dc:creator>
  <dc:description/>
  <dc:language>en-US</dc:language>
  <cp:lastModifiedBy>Thibault YpoCamp Espace CECV</cp:lastModifiedBy>
  <cp:lastPrinted>2021-01-30T11:01:40Z</cp:lastPrinted>
  <dcterms:modified xsi:type="dcterms:W3CDTF">2026-08-04T19:14:45Z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