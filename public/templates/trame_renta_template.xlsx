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hibaultrager/Desktop/"/>
    </mc:Choice>
  </mc:AlternateContent>
  <xr:revisionPtr revIDLastSave="0" documentId="13_ncr:1_{5FABA9B8-25AB-A14F-B1A0-6D7AB2F044B4}" xr6:coauthVersionLast="47" xr6:coauthVersionMax="47" xr10:uidLastSave="{00000000-0000-0000-0000-000000000000}"/>
  <bookViews>
    <workbookView xWindow="0" yWindow="0" windowWidth="28800" windowHeight="18000" tabRatio="500" activeTab="0" xr2:uid="{00000000-000D-0000-FFFF-FFFF00000000}"/>
  </bookViews>
  <sheets>
    <sheet name="RENTA VN" sheetId="1" r:id="rId1"/>
    <sheet name="DONNEES" sheetId="3" state="hidden" r:id="rId3"/>
  </sheets>
  <definedNames>
    <definedName name="OUINON">DONNEES!$A$3:$A$4</definedName>
    <definedName name="ouinonstock">DONNEES!$A$3:$A$5</definedName>
    <definedName name="PARTENAIRE">DONNEES!$B$3:$B$5</definedName>
    <definedName name="_xlnm.Print_Area" localSheetId="0">'RENTA VN'!$A$1:$N$79</definedName>
    <definedName name="_xlnm.Print_Area" localSheetId="1">'RENTA VO'!$A$1:$L$80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000-000001000000}">
      <text>
        <r>
          <rPr>
            <sz val="10"/>
            <rFont val="Arial"/>
            <family val="2"/>
          </rPr>
          <t>Légende :
- Fond bleu pâle = cellule de saisie
- Texte bleu foncé = valeur calculée automatiquement
- Feuille protégée : seules les cellules de saisie sont modifiables</t>
        </r>
      </text>
    </comment>
    <comment ref="E23" authorId="0" shapeId="0" xr:uid="{00000000-0006-0000-0000-000002000000}">
      <text>
        <r>
          <rPr>
            <sz val="10"/>
            <rFont val="Arial"/>
            <family val="2"/>
          </rPr>
          <t>Coût moyen par transporteur : 350€ HT</t>
        </r>
      </text>
    </comment>
  </commentList>
</comments>
</file>

<file path=xl/sharedStrings.xml><?xml version="1.0" encoding="utf-8"?>
<sst xmlns="http://schemas.openxmlformats.org/spreadsheetml/2006/main" count="174" uniqueCount="100">
  <si>
    <t>RENTABILITE VEHICULE NEUF //</t>
  </si>
  <si>
    <t>INFORMATIONS</t>
  </si>
  <si>
    <t>TYPE DE VEHICULE DE LOISIRS</t>
  </si>
  <si>
    <t>FORFAIT ADMIN (GASOIL, PLAQUES D'IMMAT, KIT SECURITE, CONSOMMABLES…)</t>
  </si>
  <si>
    <t>DATE DE COMMANDE</t>
  </si>
  <si>
    <t>CAMPING CAR</t>
  </si>
  <si>
    <t>DATE TRAME DE RENTA</t>
  </si>
  <si>
    <t>NOM PRENOM DU CLIENT</t>
  </si>
  <si>
    <t>DUREE D'EXPOSITION</t>
  </si>
  <si>
    <t>VENDEUR</t>
  </si>
  <si>
    <t>PAS D'EXPO</t>
  </si>
  <si>
    <t>REF ODOO</t>
  </si>
  <si>
    <t>VEHICULE</t>
  </si>
  <si>
    <t>OPTIONS USINE</t>
  </si>
  <si>
    <t>MARQUE</t>
  </si>
  <si>
    <t>DESIGNATION ( + REF USINE)</t>
  </si>
  <si>
    <t>PRIX D'ACHAT HT</t>
  </si>
  <si>
    <t>CESSION POSE YPO</t>
  </si>
  <si>
    <t>PRIX TTC CLIENT</t>
  </si>
  <si>
    <t>TEMPS DE POSE</t>
  </si>
  <si>
    <t>MODELE</t>
  </si>
  <si>
    <t>COLLECTION</t>
  </si>
  <si>
    <t>STOCK / COMMANDE</t>
  </si>
  <si>
    <t>N° DE CHASSIS / COMMANDE</t>
  </si>
  <si>
    <t>DATE DE LIVRAISON</t>
  </si>
  <si>
    <t>PRIX VDL</t>
  </si>
  <si>
    <t>FRAIS DE SORTIE USINE</t>
  </si>
  <si>
    <t>TRANSPORT USINE</t>
  </si>
  <si>
    <t>CESSION ODOO + TRAVAUX EXTERIEURS + ENCOURS</t>
  </si>
  <si>
    <t>TRANSPORT InterSite pour rapatriement véhicule</t>
  </si>
  <si>
    <t>PRIX CATALOGUE (HORS FORFAIT ADMIN)</t>
  </si>
  <si>
    <t>PRIX AVEC OPTIONS, EQUIPEMENTS ET FORFAIT</t>
  </si>
  <si>
    <t>PRIX BAS BDC TTC (HORS CARTE GRISE)</t>
  </si>
  <si>
    <t xml:space="preserve">REMISE </t>
  </si>
  <si>
    <t>TOTAL</t>
  </si>
  <si>
    <t>MARGE ATTENDUE DE L'AFFAIRE (VDL + FI)</t>
  </si>
  <si>
    <t>PREPARATION YPOCAMP / TOP ACCESSOIRES / SOUS-TRAITANT</t>
  </si>
  <si>
    <t>MARGE VDL</t>
  </si>
  <si>
    <t>DESIGNATION ( + REF TOP)</t>
  </si>
  <si>
    <t>CESSION PIÈCE</t>
  </si>
  <si>
    <t>CESSION MO</t>
  </si>
  <si>
    <t>MARGE FINANCEMENT</t>
  </si>
  <si>
    <t>PROVISION SUR EFFORT COMMERCIAL APRES VENTE</t>
  </si>
  <si>
    <t>MARGE TOTALE DE L'AFFAIRE (VDL + FI)</t>
  </si>
  <si>
    <t>Batterie gel 105Ah</t>
  </si>
  <si>
    <t xml:space="preserve">                                 MARGE VDL</t>
  </si>
  <si>
    <t>Préparation esthétique par sous-traitant</t>
  </si>
  <si>
    <t>FINANCEMENT</t>
  </si>
  <si>
    <t>OUI</t>
  </si>
  <si>
    <t>ORGANISME</t>
  </si>
  <si>
    <t>MONTANT DU FINANCEMENT</t>
  </si>
  <si>
    <t>RACHAT</t>
  </si>
  <si>
    <t>NON</t>
  </si>
  <si>
    <t>MONTANT DU RACHAT</t>
  </si>
  <si>
    <t>PRIX AFFICHE SUR PARC PREVU</t>
  </si>
  <si>
    <t>BON DE PREPARATION / COMMENTAIRES</t>
  </si>
  <si>
    <t>DRG :</t>
  </si>
  <si>
    <t>CARROSSERIE :</t>
  </si>
  <si>
    <t>REMISE EN ETAT :</t>
  </si>
  <si>
    <t>RESERVÉ AU GESTIONNAIRE DE STOCK</t>
  </si>
  <si>
    <t>Option / Equipement</t>
  </si>
  <si>
    <t>Fournisseur</t>
  </si>
  <si>
    <t>Date de commande / Résa</t>
  </si>
  <si>
    <t>Date de relance</t>
  </si>
  <si>
    <t>Date de réception</t>
  </si>
  <si>
    <t>Nom du Gestionnaire</t>
  </si>
  <si>
    <t>RENTABILITE VEHICULE D'OCCASION //</t>
  </si>
  <si>
    <t>FORFAIT ADMIN (GASOIL, PLAQUES D'IMMAT, KIT SECURITE, CASSETTE WC,…)</t>
  </si>
  <si>
    <t>NOMBRE DE JOURS DE STOCK</t>
  </si>
  <si>
    <t>FORFAIT PREPA (SOCLE COMMUN VO ; TEST HUMIDITE ; NETTOYAGE ; MISE EN MAIN)</t>
  </si>
  <si>
    <t>Moins de 360 jours</t>
  </si>
  <si>
    <t>PREPARATION MECANIQUE</t>
  </si>
  <si>
    <t>DESIGNATION</t>
  </si>
  <si>
    <t>OUI / NON / Qté</t>
  </si>
  <si>
    <t>CESSION HT</t>
  </si>
  <si>
    <t>Vidange simple (Filtre à huile)</t>
  </si>
  <si>
    <t>1ERE MISE EN CIRCULATION</t>
  </si>
  <si>
    <t>Vidange complète (Filtres à huile, gasoil et air)</t>
  </si>
  <si>
    <t>IMMATRICULATION</t>
  </si>
  <si>
    <t>Courroie de distribution</t>
  </si>
  <si>
    <t>Courroie de distribution + pompe à eau</t>
  </si>
  <si>
    <t>Train de pneus "Camper" (Attention ! Choisir 15" ou 16")</t>
  </si>
  <si>
    <t>Points de contrôle mécanique selon charte Ypo Ouest (= pré-contrôle technique)</t>
  </si>
  <si>
    <t xml:space="preserve">PRIX D'ACHAT </t>
  </si>
  <si>
    <t>Contrôle technique</t>
  </si>
  <si>
    <t>Changement des essuies glaces avants</t>
  </si>
  <si>
    <t>GARANTIE Opteven</t>
  </si>
  <si>
    <t>Récupération fiche de provision</t>
  </si>
  <si>
    <t>Montant à renseigner</t>
  </si>
  <si>
    <t>Choix libre si besoin</t>
  </si>
  <si>
    <t>MARGE BRUTE</t>
  </si>
  <si>
    <t>TVA sur MARGE</t>
  </si>
  <si>
    <t>PRIX AFFICHÉ (INCLUANT FORFAIT ADMIN)</t>
  </si>
  <si>
    <t>PRIX AVEC EQUIPEMENTS</t>
  </si>
  <si>
    <t>DESIGNATION (+REF TOP)</t>
  </si>
  <si>
    <t>CESSION Pose</t>
  </si>
  <si>
    <t>Loisirs Finance</t>
  </si>
  <si>
    <t>Financo</t>
  </si>
  <si>
    <t>EN STOCK</t>
  </si>
  <si>
    <t>Viaxel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</si>
</sst>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 €&quot;_-;\-* #,##0.00&quot; €&quot;_-;_-* \-??&quot; €&quot;_-;_-@_-"/>
    <numFmt numFmtId="165" formatCode="#,##0&quot; €&quot;"/>
    <numFmt numFmtId="166" formatCode="General&quot; € TTC CLIENT&quot;"/>
    <numFmt numFmtId="167" formatCode="h"/>
    <numFmt numFmtId="168" formatCode="#,##0.00&quot; €&quot;"/>
  </numFmts>
  <fonts count="4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333333"/>
      <name val="Calibri"/>
      <family val="2"/>
    </font>
    <font>
      <sz val="16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333333"/>
      <name val="Calibri"/>
      <family val="2"/>
    </font>
    <font>
      <sz val="10"/>
      <color rgb="FF000000"/>
      <name val="Calibri"/>
      <family val="2"/>
    </font>
    <font>
      <b/>
      <sz val="16"/>
      <color rgb="FF365556"/>
      <name val="Calibri"/>
      <family val="2"/>
    </font>
    <font>
      <b/>
      <sz val="11"/>
      <color rgb="FF426769"/>
      <name val="Calibri"/>
      <family val="2"/>
    </font>
    <font>
      <b/>
      <sz val="16"/>
      <color theme="0"/>
      <name val="Calibri"/>
      <family val="2"/>
      <charset val="1"/>
    </font>
    <font>
      <b/>
      <sz val="10"/>
      <color rgb="FF365556"/>
      <name val="Calibri"/>
      <family val="2"/>
    </font>
    <font>
      <b/>
      <sz val="10"/>
      <color rgb="FF426769"/>
      <name val="Calibri"/>
      <family val="2"/>
    </font>
    <font>
      <b/>
      <sz val="11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  <charset val="1"/>
    </font>
    <font>
      <b/>
      <sz val="9.5"/>
      <color rgb="FFFFFFFF"/>
      <name val="Calibri"/>
      <family val="2"/>
    </font>
    <font>
      <sz val="10"/>
      <color rgb="FF426769"/>
      <name val="Calibri"/>
      <family val="2"/>
    </font>
    <font>
      <b/>
      <sz val="10"/>
      <color rgb="FF333333"/>
      <name val="Calibri"/>
      <family val="2"/>
    </font>
    <font>
      <i/>
      <sz val="9"/>
      <color rgb="FF426769"/>
      <name val="Calibri"/>
      <family val="2"/>
    </font>
    <font>
      <sz val="16"/>
      <color theme="0"/>
      <name val="Calibri"/>
      <family val="2"/>
      <charset val="1"/>
    </font>
    <font>
      <b/>
      <sz val="11"/>
      <color rgb="FF1F3D3E"/>
      <name val="Calibri"/>
      <family val="2"/>
    </font>
    <font>
      <b/>
      <sz val="16"/>
      <color rgb="FF0070C0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0"/>
      <color rgb="FF304B4C"/>
      <name val="Calibri"/>
      <family val="2"/>
    </font>
    <font>
      <b/>
      <sz val="10"/>
      <color rgb="FF000000"/>
      <name val="Calibri"/>
      <family val="2"/>
    </font>
    <font>
      <sz val="10"/>
      <color rgb="FF3D3D3D"/>
      <name val="Calibri"/>
      <family val="2"/>
    </font>
    <font>
      <b/>
      <sz val="16"/>
      <color rgb="FFC0392B"/>
      <name val="Calibri"/>
      <family val="2"/>
    </font>
    <font>
      <b/>
      <sz val="11"/>
      <color rgb="FF8C4A56"/>
      <name val="Calibri"/>
      <family val="2"/>
    </font>
    <font>
      <b/>
      <sz val="14"/>
      <color rgb="FFC0392B"/>
      <name val="Calibri"/>
      <family val="2"/>
    </font>
    <font>
      <b/>
      <sz val="10"/>
      <color rgb="FFC0392B"/>
      <name val="Calibri"/>
      <family val="2"/>
    </font>
    <font>
      <b/>
      <sz val="10"/>
      <color rgb="FF8C4A56"/>
      <name val="Calibri"/>
      <family val="2"/>
    </font>
    <font>
      <sz val="9.5"/>
      <color rgb="FF3D3D3D"/>
      <name val="Calibri"/>
      <family val="2"/>
    </font>
    <font>
      <sz val="10"/>
      <color rgb="FF8C4A56"/>
      <name val="Calibri"/>
      <family val="2"/>
    </font>
    <font>
      <b/>
      <sz val="10"/>
      <color rgb="FF3D3D3D"/>
      <name val="Calibri"/>
      <family val="2"/>
    </font>
    <font>
      <b/>
      <sz val="11"/>
      <color rgb="FF6E2430"/>
      <name val="Calibri"/>
      <family val="2"/>
    </font>
    <font>
      <b/>
      <i/>
      <sz val="16"/>
      <color rgb="FF0070C0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rgb="FFF4F5F7"/>
      </patternFill>
    </fill>
    <fill>
      <patternFill patternType="solid">
        <fgColor rgb="FF4A7577"/>
        <bgColor rgb="FF426769"/>
      </patternFill>
    </fill>
    <fill>
      <patternFill patternType="solid">
        <fgColor rgb="FF78BDC0"/>
        <bgColor rgb="FFA7D4D6"/>
      </patternFill>
    </fill>
    <fill>
      <patternFill patternType="solid">
        <fgColor rgb="FFECF5F6"/>
        <bgColor rgb="FFF4F5F7"/>
      </patternFill>
    </fill>
    <fill>
      <patternFill patternType="solid">
        <fgColor rgb="FF002060"/>
        <bgColor rgb="FF000080"/>
      </patternFill>
    </fill>
    <fill>
      <patternFill patternType="solid">
        <fgColor rgb="FF5C9698"/>
        <bgColor rgb="FF4A7577"/>
      </patternFill>
    </fill>
    <fill>
      <patternFill patternType="solid">
        <fgColor rgb="FF304B4C"/>
        <bgColor rgb="FF365556"/>
      </patternFill>
    </fill>
    <fill>
      <patternFill patternType="solid">
        <fgColor rgb="FFA7D4D6"/>
        <bgColor rgb="FFB7B7B7"/>
      </patternFill>
    </fill>
    <fill>
      <patternFill patternType="solid">
        <fgColor theme="1"/>
        <bgColor rgb="FF002060"/>
      </patternFill>
    </fill>
    <fill>
      <patternFill patternType="solid">
        <fgColor rgb="FFAC6C76"/>
        <bgColor rgb="FFC98996"/>
      </patternFill>
    </fill>
    <fill>
      <patternFill patternType="solid">
        <fgColor rgb="FFF096A5"/>
        <bgColor rgb="FFC98996"/>
      </patternFill>
    </fill>
    <fill>
      <patternFill patternType="solid">
        <fgColor rgb="FFFEF0F2"/>
        <bgColor rgb="FFF4F5F7"/>
      </patternFill>
    </fill>
    <fill>
      <patternFill patternType="solid">
        <fgColor rgb="FFC98996"/>
        <bgColor rgb="FFF096A5"/>
      </patternFill>
    </fill>
    <fill>
      <patternFill patternType="solid">
        <fgColor rgb="FFC0392B"/>
        <bgColor rgb="FF8C4A56"/>
      </patternFill>
    </fill>
    <fill>
      <patternFill patternType="solid">
        <fgColor rgb="FFF5BAC4"/>
        <bgColor rgb="FFFFC7CE"/>
      </patternFill>
    </fill>
    <fill>
      <patternFill patternType="solid">
        <fgColor rgb="FFF4F5F7"/>
        <bgColor rgb="FFECF5F6"/>
      </patternFill>
    </fill>
    <fill>
      <patternFill patternType="solid">
        <fgColor rgb="FFF096A6"/>
        <bgColor rgb="FF8C4A56"/>
      </patternFill>
    </fill>
  </fills>
  <borders count="1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theme="1"/>
      </top>
      <bottom style="medium">
        <color theme="1"/>
      </bottom>
      <diagonal/>
    </border>
    <border>
      <left/>
      <right style="thin">
        <color auto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164" fontId="2" fillId="0" borderId="0"/>
    <xf numFmtId="9" fontId="3" fillId="0" borderId="0"/>
  </cellStyleXfs>
  <cellXfs count="150">
    <xf numFmtId="0" fontId="0" fillId="0" borderId="0" xfId="0"/>
    <xf numFmtId="0" fontId="14" fillId="2" borderId="0" xfId="0" applyFont="1" applyFill="1" applyAlignment="1">
      <alignment horizontal="center" vertical="center"/>
    </xf>
    <xf numFmtId="165" fontId="16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left" vertical="center"/>
      <protection locked="0"/>
    </xf>
    <xf numFmtId="166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14" fontId="11" fillId="5" borderId="1" xfId="0" applyNumberFormat="1" applyFont="1" applyFill="1" applyBorder="1" applyAlignment="1" applyProtection="1">
      <alignment horizontal="left" vertical="center"/>
      <protection locked="0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6" fillId="0" borderId="0" xfId="0" applyFont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5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49" fontId="20" fillId="7" borderId="1" xfId="0" applyNumberFormat="1" applyFont="1" applyFill="1" applyBorder="1" applyAlignment="1">
      <alignment horizontal="center" vertical="center" wrapText="1"/>
    </xf>
    <xf numFmtId="165" fontId="20" fillId="7" borderId="1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 applyProtection="1">
      <alignment horizontal="right" vertical="center"/>
      <protection locked="0"/>
    </xf>
    <xf numFmtId="0" fontId="21" fillId="0" borderId="1" xfId="0" applyFont="1" applyBorder="1" applyAlignment="1">
      <alignment horizontal="center" vertical="center"/>
    </xf>
    <xf numFmtId="10" fontId="0" fillId="0" borderId="0" xfId="0" applyNumberFormat="1" applyAlignment="1" applyProtection="1">
      <alignment vertical="center"/>
      <protection locked="0"/>
    </xf>
    <xf numFmtId="0" fontId="19" fillId="2" borderId="0" xfId="0" applyFont="1" applyFill="1" applyAlignment="1">
      <alignment vertical="center"/>
    </xf>
    <xf numFmtId="165" fontId="11" fillId="5" borderId="1" xfId="2" applyNumberFormat="1" applyFont="1" applyFill="1" applyBorder="1" applyAlignment="1" applyProtection="1">
      <alignment horizontal="right" vertical="center"/>
      <protection locked="0"/>
    </xf>
    <xf numFmtId="10" fontId="16" fillId="0" borderId="1" xfId="0" applyNumberFormat="1" applyFont="1" applyBorder="1" applyAlignment="1">
      <alignment horizontal="right" vertical="center"/>
    </xf>
    <xf numFmtId="0" fontId="8" fillId="7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right" vertical="center"/>
    </xf>
    <xf numFmtId="10" fontId="23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/>
    </xf>
    <xf numFmtId="0" fontId="24" fillId="2" borderId="0" xfId="0" applyFont="1" applyFill="1" applyAlignment="1">
      <alignment vertical="center"/>
    </xf>
    <xf numFmtId="165" fontId="25" fillId="9" borderId="1" xfId="0" applyNumberFormat="1" applyFont="1" applyFill="1" applyBorder="1" applyAlignment="1">
      <alignment horizontal="right" vertical="center"/>
    </xf>
    <xf numFmtId="165" fontId="21" fillId="0" borderId="1" xfId="2" applyNumberFormat="1" applyFont="1" applyBorder="1" applyAlignment="1">
      <alignment horizontal="right" vertical="center"/>
    </xf>
    <xf numFmtId="0" fontId="20" fillId="7" borderId="1" xfId="0" applyFont="1" applyFill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right" vertical="center"/>
    </xf>
    <xf numFmtId="165" fontId="26" fillId="10" borderId="3" xfId="0" applyNumberFormat="1" applyFont="1" applyFill="1" applyBorder="1" applyAlignment="1">
      <alignment horizontal="center" vertical="center"/>
    </xf>
    <xf numFmtId="167" fontId="26" fillId="0" borderId="4" xfId="0" applyNumberFormat="1" applyFont="1" applyBorder="1" applyAlignment="1">
      <alignment horizontal="center" vertical="center"/>
    </xf>
    <xf numFmtId="165" fontId="27" fillId="10" borderId="5" xfId="0" applyNumberFormat="1" applyFont="1" applyFill="1" applyBorder="1" applyAlignment="1">
      <alignment horizontal="center" vertical="center"/>
    </xf>
    <xf numFmtId="167" fontId="26" fillId="0" borderId="6" xfId="0" applyNumberFormat="1" applyFont="1" applyBorder="1" applyAlignment="1">
      <alignment horizontal="center" vertical="center"/>
    </xf>
    <xf numFmtId="165" fontId="18" fillId="8" borderId="1" xfId="0" applyNumberFormat="1" applyFont="1" applyFill="1" applyBorder="1" applyAlignment="1">
      <alignment horizontal="right" vertical="center"/>
    </xf>
    <xf numFmtId="167" fontId="21" fillId="0" borderId="1" xfId="0" applyNumberFormat="1" applyFont="1" applyBorder="1" applyAlignment="1">
      <alignment horizontal="center" vertical="center"/>
    </xf>
    <xf numFmtId="165" fontId="16" fillId="0" borderId="1" xfId="2" applyNumberFormat="1" applyFont="1" applyBorder="1" applyAlignment="1">
      <alignment horizontal="right" vertical="center"/>
    </xf>
    <xf numFmtId="165" fontId="26" fillId="0" borderId="5" xfId="0" applyNumberFormat="1" applyFont="1" applyBorder="1" applyAlignment="1" applyProtection="1">
      <alignment horizontal="center" vertical="center"/>
      <protection locked="0"/>
    </xf>
    <xf numFmtId="0" fontId="29" fillId="5" borderId="1" xfId="0" applyFont="1" applyFill="1" applyBorder="1" applyAlignment="1" applyProtection="1">
      <alignment horizontal="center" vertical="center"/>
      <protection locked="0"/>
    </xf>
    <xf numFmtId="165" fontId="7" fillId="0" borderId="0" xfId="0" applyNumberFormat="1" applyFont="1" applyAlignment="1">
      <alignment vertical="center"/>
    </xf>
    <xf numFmtId="165" fontId="26" fillId="0" borderId="10" xfId="0" applyNumberFormat="1" applyFont="1" applyBorder="1" applyAlignment="1" applyProtection="1">
      <alignment horizontal="center" vertical="center"/>
      <protection locked="0"/>
    </xf>
    <xf numFmtId="167" fontId="26" fillId="0" borderId="11" xfId="0" applyNumberFormat="1" applyFont="1" applyBorder="1" applyAlignment="1">
      <alignment horizontal="center" vertical="center"/>
    </xf>
    <xf numFmtId="165" fontId="26" fillId="0" borderId="12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left" vertical="center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14" fontId="11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0" fillId="0" borderId="1" xfId="0" applyFont="1" applyBorder="1" applyAlignment="1">
      <alignment horizontal="left" vertical="center"/>
    </xf>
    <xf numFmtId="0" fontId="11" fillId="13" borderId="1" xfId="0" applyFont="1" applyFill="1" applyBorder="1" applyAlignment="1" applyProtection="1">
      <alignment horizontal="left" vertical="center"/>
      <protection locked="0"/>
    </xf>
    <xf numFmtId="0" fontId="34" fillId="0" borderId="1" xfId="0" applyFont="1" applyBorder="1" applyAlignment="1">
      <alignment horizontal="left" vertical="center"/>
    </xf>
    <xf numFmtId="165" fontId="35" fillId="0" borderId="1" xfId="0" applyNumberFormat="1" applyFont="1" applyBorder="1" applyAlignment="1">
      <alignment horizontal="right" vertical="center"/>
    </xf>
    <xf numFmtId="49" fontId="20" fillId="14" borderId="1" xfId="0" applyNumberFormat="1" applyFont="1" applyFill="1" applyBorder="1" applyAlignment="1">
      <alignment horizontal="center" vertical="center" wrapText="1"/>
    </xf>
    <xf numFmtId="49" fontId="11" fillId="13" borderId="1" xfId="0" applyNumberFormat="1" applyFont="1" applyFill="1" applyBorder="1" applyAlignment="1" applyProtection="1">
      <alignment horizontal="center" vertical="center"/>
      <protection locked="0"/>
    </xf>
    <xf numFmtId="165" fontId="37" fillId="0" borderId="1" xfId="0" applyNumberFormat="1" applyFont="1" applyBorder="1" applyAlignment="1">
      <alignment horizontal="right" vertical="center"/>
    </xf>
    <xf numFmtId="165" fontId="11" fillId="13" borderId="1" xfId="0" applyNumberFormat="1" applyFont="1" applyFill="1" applyBorder="1" applyAlignment="1" applyProtection="1">
      <alignment horizontal="right" vertical="center"/>
      <protection locked="0"/>
    </xf>
    <xf numFmtId="165" fontId="11" fillId="13" borderId="1" xfId="2" applyNumberFormat="1" applyFont="1" applyFill="1" applyBorder="1" applyAlignment="1" applyProtection="1">
      <alignment horizontal="right" vertical="center"/>
      <protection locked="0"/>
    </xf>
    <xf numFmtId="0" fontId="8" fillId="14" borderId="1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left" vertical="center"/>
    </xf>
    <xf numFmtId="165" fontId="8" fillId="14" borderId="1" xfId="0" applyNumberFormat="1" applyFont="1" applyFill="1" applyBorder="1" applyAlignment="1">
      <alignment horizontal="right" vertical="center"/>
    </xf>
    <xf numFmtId="0" fontId="20" fillId="14" borderId="1" xfId="0" applyFont="1" applyFill="1" applyBorder="1" applyAlignment="1">
      <alignment horizontal="center" vertical="center" wrapText="1"/>
    </xf>
    <xf numFmtId="10" fontId="35" fillId="0" borderId="1" xfId="0" applyNumberFormat="1" applyFont="1" applyBorder="1" applyAlignment="1">
      <alignment horizontal="right" vertical="center"/>
    </xf>
    <xf numFmtId="168" fontId="27" fillId="2" borderId="0" xfId="0" applyNumberFormat="1" applyFont="1" applyFill="1" applyAlignment="1">
      <alignment horizontal="center" vertical="center"/>
    </xf>
    <xf numFmtId="168" fontId="26" fillId="2" borderId="0" xfId="0" applyNumberFormat="1" applyFont="1" applyFill="1" applyAlignment="1">
      <alignment horizontal="center" vertical="center"/>
    </xf>
    <xf numFmtId="165" fontId="26" fillId="10" borderId="5" xfId="0" applyNumberFormat="1" applyFont="1" applyFill="1" applyBorder="1" applyAlignment="1">
      <alignment horizontal="center" vertical="center"/>
    </xf>
    <xf numFmtId="165" fontId="39" fillId="16" borderId="1" xfId="0" applyNumberFormat="1" applyFont="1" applyFill="1" applyBorder="1" applyAlignment="1">
      <alignment horizontal="right" vertical="center"/>
    </xf>
    <xf numFmtId="165" fontId="37" fillId="0" borderId="1" xfId="2" applyNumberFormat="1" applyFont="1" applyBorder="1" applyAlignment="1">
      <alignment horizontal="right" vertical="center"/>
    </xf>
    <xf numFmtId="0" fontId="27" fillId="2" borderId="0" xfId="0" applyFont="1" applyFill="1" applyAlignment="1">
      <alignment horizontal="center" vertical="center"/>
    </xf>
    <xf numFmtId="165" fontId="26" fillId="2" borderId="5" xfId="0" applyNumberFormat="1" applyFont="1" applyFill="1" applyBorder="1" applyAlignment="1" applyProtection="1">
      <alignment horizontal="center" vertical="center"/>
      <protection locked="0"/>
    </xf>
    <xf numFmtId="165" fontId="18" fillId="15" borderId="1" xfId="0" applyNumberFormat="1" applyFont="1" applyFill="1" applyBorder="1" applyAlignment="1">
      <alignment horizontal="right" vertical="center"/>
    </xf>
    <xf numFmtId="165" fontId="35" fillId="0" borderId="1" xfId="2" applyNumberFormat="1" applyFont="1" applyBorder="1" applyAlignment="1">
      <alignment horizontal="right" vertical="center"/>
    </xf>
    <xf numFmtId="165" fontId="40" fillId="2" borderId="5" xfId="0" applyNumberFormat="1" applyFont="1" applyFill="1" applyBorder="1" applyAlignment="1" applyProtection="1">
      <alignment horizontal="center" vertical="center"/>
      <protection locked="0"/>
    </xf>
    <xf numFmtId="0" fontId="29" fillId="13" borderId="1" xfId="0" applyFont="1" applyFill="1" applyBorder="1" applyAlignment="1" applyProtection="1">
      <alignment horizontal="center" vertical="center"/>
      <protection locked="0"/>
    </xf>
    <xf numFmtId="165" fontId="7" fillId="0" borderId="15" xfId="0" applyNumberFormat="1" applyFont="1" applyBorder="1" applyAlignment="1">
      <alignment vertical="center"/>
    </xf>
    <xf numFmtId="0" fontId="11" fillId="13" borderId="1" xfId="0" applyFont="1" applyFill="1" applyBorder="1" applyAlignment="1" applyProtection="1">
      <alignment horizontal="center" vertical="center"/>
      <protection locked="0"/>
    </xf>
    <xf numFmtId="14" fontId="11" fillId="13" borderId="1" xfId="0" applyNumberFormat="1" applyFont="1" applyFill="1" applyBorder="1" applyAlignment="1" applyProtection="1">
      <alignment horizontal="center" vertical="center"/>
      <protection locked="0"/>
    </xf>
    <xf numFmtId="0" fontId="38" fillId="17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49" fontId="20" fillId="7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49" fontId="11" fillId="5" borderId="1" xfId="0" applyNumberFormat="1" applyFont="1" applyFill="1" applyBorder="1" applyAlignment="1" applyProtection="1">
      <alignment horizontal="left" vertical="center"/>
      <protection locked="0"/>
    </xf>
    <xf numFmtId="0" fontId="26" fillId="0" borderId="7" xfId="0" applyFont="1" applyBorder="1" applyAlignment="1" applyProtection="1">
      <alignment horizontal="left" vertical="center"/>
      <protection locked="0"/>
    </xf>
    <xf numFmtId="49" fontId="26" fillId="0" borderId="7" xfId="0" applyNumberFormat="1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>
      <alignment horizontal="right" vertical="center"/>
    </xf>
    <xf numFmtId="49" fontId="26" fillId="0" borderId="9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right" vertical="center" wrapText="1"/>
    </xf>
    <xf numFmtId="0" fontId="5" fillId="12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14" fontId="11" fillId="13" borderId="1" xfId="0" applyNumberFormat="1" applyFont="1" applyFill="1" applyBorder="1" applyAlignment="1" applyProtection="1">
      <alignment horizontal="left" vertical="center"/>
      <protection locked="0"/>
    </xf>
    <xf numFmtId="0" fontId="31" fillId="13" borderId="1" xfId="0" applyFont="1" applyFill="1" applyBorder="1" applyAlignment="1" applyProtection="1">
      <alignment horizontal="center" vertical="center"/>
      <protection locked="0"/>
    </xf>
    <xf numFmtId="165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1" fillId="13" borderId="1" xfId="0" applyFont="1" applyFill="1" applyBorder="1" applyAlignment="1" applyProtection="1">
      <alignment horizontal="left" vertical="center"/>
      <protection locked="0"/>
    </xf>
    <xf numFmtId="0" fontId="33" fillId="13" borderId="1" xfId="0" applyFont="1" applyFill="1" applyBorder="1" applyAlignment="1" applyProtection="1">
      <alignment horizontal="center" vertical="center"/>
      <protection locked="0"/>
    </xf>
    <xf numFmtId="165" fontId="35" fillId="0" borderId="1" xfId="0" applyNumberFormat="1" applyFont="1" applyBorder="1" applyAlignment="1">
      <alignment horizontal="right" vertical="center"/>
    </xf>
    <xf numFmtId="0" fontId="18" fillId="11" borderId="1" xfId="0" applyFont="1" applyFill="1" applyBorder="1" applyAlignment="1">
      <alignment horizontal="center" vertical="center"/>
    </xf>
    <xf numFmtId="49" fontId="20" fillId="14" borderId="1" xfId="0" applyNumberFormat="1" applyFont="1" applyFill="1" applyBorder="1" applyAlignment="1">
      <alignment horizontal="center" vertical="center" wrapText="1"/>
    </xf>
    <xf numFmtId="165" fontId="20" fillId="14" borderId="1" xfId="0" applyNumberFormat="1" applyFont="1" applyFill="1" applyBorder="1" applyAlignment="1">
      <alignment horizontal="center" vertical="center" wrapText="1"/>
    </xf>
    <xf numFmtId="49" fontId="36" fillId="0" borderId="1" xfId="0" applyNumberFormat="1" applyFont="1" applyBorder="1" applyAlignment="1">
      <alignment horizontal="left" vertical="center" wrapText="1"/>
    </xf>
    <xf numFmtId="165" fontId="37" fillId="0" borderId="1" xfId="0" applyNumberFormat="1" applyFont="1" applyBorder="1" applyAlignment="1">
      <alignment horizontal="right" vertical="center"/>
    </xf>
    <xf numFmtId="0" fontId="34" fillId="0" borderId="1" xfId="0" applyFont="1" applyBorder="1" applyAlignment="1">
      <alignment horizontal="left" vertical="center"/>
    </xf>
    <xf numFmtId="165" fontId="11" fillId="13" borderId="1" xfId="0" applyNumberFormat="1" applyFont="1" applyFill="1" applyBorder="1" applyAlignment="1" applyProtection="1">
      <alignment horizontal="right" vertical="center"/>
      <protection locked="0"/>
    </xf>
    <xf numFmtId="0" fontId="38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165" fontId="8" fillId="14" borderId="1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left" vertical="center" wrapText="1"/>
    </xf>
    <xf numFmtId="0" fontId="39" fillId="16" borderId="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49" fontId="26" fillId="2" borderId="7" xfId="0" applyNumberFormat="1" applyFont="1" applyFill="1" applyBorder="1" applyAlignment="1" applyProtection="1">
      <alignment horizontal="left" vertical="center"/>
      <protection locked="0"/>
    </xf>
    <xf numFmtId="0" fontId="18" fillId="15" borderId="1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right" vertical="center"/>
    </xf>
    <xf numFmtId="0" fontId="5" fillId="11" borderId="1" xfId="0" applyFont="1" applyFill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18" fillId="18" borderId="1" xfId="0" applyFont="1" applyFill="1" applyBorder="1" applyAlignment="1">
      <alignment horizontal="left" vertical="center"/>
    </xf>
    <xf numFmtId="1" fontId="16" fillId="0" borderId="1" xfId="0" applyNumberFormat="1" applyFont="1" applyBorder="1" applyAlignment="1">
      <alignment horizontal="right" vertical="center"/>
    </xf>
  </cellXfs>
  <cellStyles count="3">
    <cellStyle name="Euro" xfId="1" xr:uid="{00000000-0005-0000-0000-000006000000}"/>
    <cellStyle name="Normal" xfId="0" builtinId="0"/>
    <cellStyle name="Pourcentage 2" xfId="2" xr:uid="{00000000-0005-0000-0000-000007000000}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0000"/>
      </font>
      <fill>
        <patternFill>
          <bgColor rgb="FF00B05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000000"/>
      </font>
      <fill>
        <patternFill>
          <bgColor rgb="FF00B050"/>
        </patternFill>
      </fill>
    </dxf>
    <dxf>
      <font>
        <color rgb="FFFFFFFF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426769"/>
      <rgbColor rgb="FFB7B7B7"/>
      <rgbColor rgb="FF5C9698"/>
      <rgbColor rgb="FF78BDC0"/>
      <rgbColor rgb="FF8C4A56"/>
      <rgbColor rgb="FFFEF0F2"/>
      <rgbColor rgb="FFECF5F6"/>
      <rgbColor rgb="FF660066"/>
      <rgbColor rgb="FFAC6C76"/>
      <rgbColor rgb="FF0070C0"/>
      <rgbColor rgb="FFF5BAC4"/>
      <rgbColor rgb="FF000080"/>
      <rgbColor rgb="FFFF00FF"/>
      <rgbColor rgb="FFFFFF00"/>
      <rgbColor rgb="FF00FFFF"/>
      <rgbColor rgb="FF800080"/>
      <rgbColor rgb="FF800000"/>
      <rgbColor rgb="FF365556"/>
      <rgbColor rgb="FF0000FF"/>
      <rgbColor rgb="FF00CCFF"/>
      <rgbColor rgb="FFF4F5F7"/>
      <rgbColor rgb="FFC6EFCE"/>
      <rgbColor rgb="FFFFFF99"/>
      <rgbColor rgb="FFA7D4D6"/>
      <rgbColor rgb="FFF096A5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577"/>
      <rgbColor rgb="FFC98996"/>
      <rgbColor rgb="FF002060"/>
      <rgbColor rgb="FF00B050"/>
      <rgbColor rgb="FF1F3D3E"/>
      <rgbColor rgb="FF3D3D3D"/>
      <rgbColor rgb="FFC0392B"/>
      <rgbColor rgb="FF6E2430"/>
      <rgbColor rgb="FF304B4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9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tabSelected="1" showGridLines="0" zoomScale="113" zoomScaleNormal="70" workbookViewId="0">
      <pane ySplit="1" topLeftCell="A25" activePane="bottomLeft" state="frozen"/>
      <selection activeCell="C13" sqref="C13:E13"/>
      <selection pane="bottomLeft" activeCell="C13" sqref="C13:E13"/>
    </sheetView>
  </sheetViews>
  <sheetFormatPr baseColWidth="10" defaultColWidth="3" defaultRowHeight="15" x14ac:dyDescent="0.2"/>
  <cols>
    <col min="1" max="1" width="2.5" style="15" customWidth="1"/>
    <col min="2" max="2" width="30" style="16" customWidth="1"/>
    <col min="3" max="5" width="13" style="16" customWidth="1"/>
    <col min="6" max="6" width="2.5" style="16" customWidth="1"/>
    <col min="7" max="7" width="34" style="16" customWidth="1"/>
    <col min="8" max="8" width="12" style="16" customWidth="1"/>
    <col min="9" max="11" width="13" style="16" customWidth="1"/>
    <col min="12" max="12" width="11" style="15" customWidth="1"/>
    <col min="13" max="13" width="3" style="15"/>
    <col min="14" max="16384" width="3" style="16"/>
  </cols>
  <sheetData>
    <row r="1" spans="1:14" ht="33.75" customHeight="1" x14ac:dyDescent="0.2">
      <c r="A1" s="17"/>
      <c r="B1" s="14" t="s">
        <v>0</v>
      </c>
      <c r="C1" s="14"/>
      <c r="D1" s="14"/>
      <c r="E1" s="14"/>
      <c r="F1" s="14"/>
      <c r="G1" s="14"/>
      <c r="H1" s="13" t="str">
        <f>(I7+J27+J45)/50&amp; " Heures DANS L'ATELIER (Prépa, Mise en main)"</f>
        <v>5 Heures DANS L'ATELIER (Prépa, Mise en main)</v>
      </c>
      <c r="I1" s="13"/>
      <c r="J1" s="13"/>
      <c r="K1" s="13"/>
      <c r="L1" s="13"/>
      <c r="M1" s="17"/>
    </row>
    <row r="2" spans="1:14" s="15" customFormat="1" ht="15.7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30" customHeight="1" x14ac:dyDescent="0.2">
      <c r="A3" s="17"/>
      <c r="B3" s="12" t="s">
        <v>1</v>
      </c>
      <c r="C3" s="12"/>
      <c r="D3" s="12"/>
      <c r="E3" s="12"/>
      <c r="F3" s="19"/>
      <c r="G3" s="11" t="s">
        <v>2</v>
      </c>
      <c r="H3" s="11"/>
      <c r="I3" s="10" t="s">
        <v>3</v>
      </c>
      <c r="J3" s="10"/>
      <c r="K3" s="10"/>
      <c r="L3" s="10"/>
      <c r="M3" s="17"/>
    </row>
    <row r="4" spans="1:14" s="15" customFormat="1" ht="30" customHeight="1" x14ac:dyDescent="0.2">
      <c r="A4" s="17"/>
      <c r="B4" s="20" t="s">
        <v>4</v>
      </c>
      <c r="C4" s="9"/>
      <c r="D4" s="9"/>
      <c r="E4" s="9"/>
      <c r="F4" s="19"/>
      <c r="G4" s="8" t="s">
        <v>5</v>
      </c>
      <c r="H4" s="8"/>
      <c r="I4" s="7">
        <f>IF(G4="CAMPING CAR",135,20)</f>
        <v>135</v>
      </c>
      <c r="J4" s="7"/>
      <c r="K4" s="6">
        <f>IF(G4="CAMPING CAR",790,(IF(G4="CARAVANE",380,"CARTE GRISE A LA CHARGE DU CLIENT")))</f>
        <v>790</v>
      </c>
      <c r="L4" s="6"/>
      <c r="M4" s="17"/>
    </row>
    <row r="5" spans="1:14" ht="15.75" customHeight="1" x14ac:dyDescent="0.2">
      <c r="A5" s="17"/>
      <c r="B5" s="20" t="s">
        <v>6</v>
      </c>
      <c r="C5" s="9"/>
      <c r="D5" s="9"/>
      <c r="E5" s="9"/>
      <c r="F5" s="19"/>
      <c r="G5" s="8"/>
      <c r="H5" s="8"/>
      <c r="I5" s="7"/>
      <c r="J5" s="7"/>
      <c r="K5" s="6"/>
      <c r="L5" s="6"/>
      <c r="M5" s="17"/>
    </row>
    <row r="6" spans="1:14" s="15" customFormat="1" ht="30" customHeight="1" x14ac:dyDescent="0.2">
      <c r="A6" s="17"/>
      <c r="B6" s="20" t="s">
        <v>7</v>
      </c>
      <c r="C6" s="5"/>
      <c r="D6" s="5"/>
      <c r="E6" s="5"/>
      <c r="F6" s="19"/>
      <c r="G6" s="11" t="s">
        <v>8</v>
      </c>
      <c r="H6" s="11"/>
      <c r="I6" s="4"/>
      <c r="J6" s="4"/>
      <c r="K6" s="4"/>
      <c r="L6" s="4"/>
      <c r="M6" s="17"/>
    </row>
    <row r="7" spans="1:14" ht="30" customHeight="1" x14ac:dyDescent="0.2">
      <c r="A7" s="17"/>
      <c r="B7" s="20" t="s">
        <v>9</v>
      </c>
      <c r="C7" s="5"/>
      <c r="D7" s="5"/>
      <c r="E7" s="5"/>
      <c r="F7" s="19"/>
      <c r="G7" s="8" t="s">
        <v>10</v>
      </c>
      <c r="H7" s="8"/>
      <c r="I7" s="7">
        <f>IF(G4="Camping car",200,150)</f>
        <v>200</v>
      </c>
      <c r="J7" s="7"/>
      <c r="K7" s="3" t="str">
        <f>IF(G4="CAMPING CAR","4 Heures","3 Heures")</f>
        <v>4 Heures</v>
      </c>
      <c r="L7" s="3"/>
      <c r="M7" s="17"/>
    </row>
    <row r="8" spans="1:14" s="15" customFormat="1" ht="15.75" customHeight="1" x14ac:dyDescent="0.2">
      <c r="A8" s="17"/>
      <c r="B8" s="22" t="s">
        <v>11</v>
      </c>
      <c r="C8" s="149">
        <f>IF(E35=0,(E34*9%),(E34*11%+E40*0.3%))</f>
        <v>0</v>
      </c>
      <c r="D8" s="2"/>
      <c r="E8" s="2"/>
      <c r="F8" s="19"/>
      <c r="G8" s="8"/>
      <c r="H8" s="8"/>
      <c r="I8" s="7"/>
      <c r="J8" s="7"/>
      <c r="K8" s="3"/>
      <c r="L8" s="3"/>
      <c r="M8" s="17"/>
    </row>
    <row r="9" spans="1:14" ht="15.75" customHeight="1" x14ac:dyDescent="0.2">
      <c r="A9" s="17"/>
      <c r="B9" s="24"/>
      <c r="C9" s="24"/>
      <c r="D9" s="25"/>
      <c r="E9" s="25"/>
      <c r="F9" s="19"/>
      <c r="G9" s="1"/>
      <c r="H9" s="1"/>
      <c r="I9" s="1"/>
      <c r="J9" s="1"/>
      <c r="K9" s="1"/>
      <c r="L9" s="19"/>
      <c r="M9" s="27"/>
    </row>
    <row r="10" spans="1:14" ht="15.75" customHeight="1" x14ac:dyDescent="0.2">
      <c r="A10" s="17"/>
      <c r="B10" s="12" t="s">
        <v>12</v>
      </c>
      <c r="C10" s="12"/>
      <c r="D10" s="12"/>
      <c r="E10" s="12"/>
      <c r="F10" s="19"/>
      <c r="G10" s="92" t="s">
        <v>13</v>
      </c>
      <c r="H10" s="92"/>
      <c r="I10" s="92"/>
      <c r="J10" s="92"/>
      <c r="K10" s="92"/>
      <c r="L10" s="92"/>
      <c r="M10" s="28"/>
    </row>
    <row r="11" spans="1:14" ht="30" customHeight="1" x14ac:dyDescent="0.2">
      <c r="A11" s="17"/>
      <c r="B11" s="20" t="s">
        <v>14</v>
      </c>
      <c r="C11" s="5"/>
      <c r="D11" s="5"/>
      <c r="E11" s="5"/>
      <c r="F11" s="19"/>
      <c r="G11" s="93" t="s">
        <v>15</v>
      </c>
      <c r="H11" s="93"/>
      <c r="I11" s="29" t="s">
        <v>16</v>
      </c>
      <c r="J11" s="29" t="s">
        <v>17</v>
      </c>
      <c r="K11" s="30" t="s">
        <v>18</v>
      </c>
      <c r="L11" s="30" t="s">
        <v>19</v>
      </c>
      <c r="M11" s="28"/>
    </row>
    <row r="12" spans="1:14" ht="15.75" customHeight="1" x14ac:dyDescent="0.2">
      <c r="A12" s="17"/>
      <c r="B12" s="20" t="s">
        <v>20</v>
      </c>
      <c r="C12" s="5"/>
      <c r="D12" s="5"/>
      <c r="E12" s="5"/>
      <c r="F12" s="19"/>
      <c r="G12" s="5"/>
      <c r="H12" s="5"/>
      <c r="I12" s="31"/>
      <c r="J12" s="31"/>
      <c r="K12" s="31"/>
      <c r="L12" s="32" t="str">
        <f t="shared" ref="L12:L26" si="0">J12/50&amp;" H"</f>
        <v>0 H</v>
      </c>
      <c r="M12" s="28"/>
      <c r="N12" s="33"/>
    </row>
    <row r="13" spans="1:14" ht="15.75" customHeight="1" x14ac:dyDescent="0.2">
      <c r="A13" s="17"/>
      <c r="B13" s="20" t="s">
        <v>21</v>
      </c>
      <c r="C13" s="5">
        <v>2026</v>
      </c>
      <c r="D13" s="5"/>
      <c r="E13" s="5"/>
      <c r="F13" s="19"/>
      <c r="G13" s="5"/>
      <c r="H13" s="5"/>
      <c r="I13" s="31"/>
      <c r="J13" s="31"/>
      <c r="K13" s="31"/>
      <c r="L13" s="32" t="str">
        <f t="shared" si="0"/>
        <v>0 H</v>
      </c>
      <c r="M13" s="28"/>
    </row>
    <row r="14" spans="1:14" ht="15.75" customHeight="1" x14ac:dyDescent="0.2">
      <c r="A14" s="17"/>
      <c r="B14" s="20" t="s">
        <v>22</v>
      </c>
      <c r="C14" s="5"/>
      <c r="D14" s="5"/>
      <c r="E14" s="5"/>
      <c r="F14" s="19"/>
      <c r="G14" s="5"/>
      <c r="H14" s="5"/>
      <c r="I14" s="31"/>
      <c r="J14" s="31"/>
      <c r="K14" s="31"/>
      <c r="L14" s="32" t="str">
        <f t="shared" si="0"/>
        <v>0 H</v>
      </c>
      <c r="M14" s="34"/>
    </row>
    <row r="15" spans="1:14" ht="15.75" customHeight="1" x14ac:dyDescent="0.2">
      <c r="A15" s="17"/>
      <c r="B15" s="20" t="s">
        <v>23</v>
      </c>
      <c r="C15" s="5"/>
      <c r="D15" s="5"/>
      <c r="E15" s="5"/>
      <c r="F15" s="19"/>
      <c r="G15" s="5"/>
      <c r="H15" s="5"/>
      <c r="I15" s="31"/>
      <c r="J15" s="31"/>
      <c r="K15" s="31"/>
      <c r="L15" s="32" t="str">
        <f t="shared" si="0"/>
        <v>0 H</v>
      </c>
      <c r="M15" s="17"/>
    </row>
    <row r="16" spans="1:14" ht="15.75" customHeight="1" x14ac:dyDescent="0.2">
      <c r="A16" s="17"/>
      <c r="B16" s="20" t="s">
        <v>24</v>
      </c>
      <c r="C16" s="9"/>
      <c r="D16" s="9"/>
      <c r="E16" s="9"/>
      <c r="F16" s="19"/>
      <c r="G16" s="5"/>
      <c r="H16" s="5"/>
      <c r="I16" s="31"/>
      <c r="J16" s="31"/>
      <c r="K16" s="31"/>
      <c r="L16" s="32" t="str">
        <f t="shared" si="0"/>
        <v>0 H</v>
      </c>
      <c r="M16" s="17"/>
    </row>
    <row r="17" spans="1:13" ht="15.75" customHeight="1" x14ac:dyDescent="0.2">
      <c r="A17" s="17"/>
      <c r="B17" s="19"/>
      <c r="C17" s="19"/>
      <c r="D17" s="19"/>
      <c r="E17" s="19"/>
      <c r="F17" s="19"/>
      <c r="G17" s="5"/>
      <c r="H17" s="5"/>
      <c r="I17" s="31"/>
      <c r="J17" s="31"/>
      <c r="K17" s="31"/>
      <c r="L17" s="32" t="str">
        <f t="shared" si="0"/>
        <v>0 H</v>
      </c>
      <c r="M17" s="17"/>
    </row>
    <row r="18" spans="1:13" ht="15.75" customHeight="1" x14ac:dyDescent="0.2">
      <c r="A18" s="17"/>
      <c r="B18" s="94" t="s">
        <v>25</v>
      </c>
      <c r="C18" s="94"/>
      <c r="D18" s="94"/>
      <c r="E18" s="94"/>
      <c r="F18" s="19"/>
      <c r="G18" s="5"/>
      <c r="H18" s="5"/>
      <c r="I18" s="31"/>
      <c r="J18" s="31"/>
      <c r="K18" s="31"/>
      <c r="L18" s="32" t="str">
        <f t="shared" si="0"/>
        <v>0 H</v>
      </c>
      <c r="M18" s="17"/>
    </row>
    <row r="19" spans="1:13" ht="15.75" customHeight="1" x14ac:dyDescent="0.2">
      <c r="A19" s="17"/>
      <c r="B19" s="95" t="s">
        <v>16</v>
      </c>
      <c r="C19" s="95"/>
      <c r="D19" s="95"/>
      <c r="E19" s="31"/>
      <c r="F19" s="19"/>
      <c r="G19" s="5"/>
      <c r="H19" s="5"/>
      <c r="I19" s="31"/>
      <c r="J19" s="31"/>
      <c r="K19" s="31"/>
      <c r="L19" s="32" t="str">
        <f t="shared" si="0"/>
        <v>0 H</v>
      </c>
      <c r="M19" s="17"/>
    </row>
    <row r="20" spans="1:13" ht="15.75" customHeight="1" x14ac:dyDescent="0.2">
      <c r="A20" s="17"/>
      <c r="B20" s="96" t="s">
        <v>26</v>
      </c>
      <c r="C20" s="96"/>
      <c r="D20" s="96"/>
      <c r="E20" s="31"/>
      <c r="F20" s="19"/>
      <c r="G20" s="5"/>
      <c r="H20" s="5"/>
      <c r="I20" s="31"/>
      <c r="J20" s="31"/>
      <c r="K20" s="31"/>
      <c r="L20" s="32" t="str">
        <f t="shared" si="0"/>
        <v>0 H</v>
      </c>
      <c r="M20" s="17"/>
    </row>
    <row r="21" spans="1:13" ht="15.75" customHeight="1" x14ac:dyDescent="0.2">
      <c r="A21" s="17"/>
      <c r="B21" s="96" t="s">
        <v>27</v>
      </c>
      <c r="C21" s="96"/>
      <c r="D21" s="96"/>
      <c r="E21" s="35"/>
      <c r="F21" s="19"/>
      <c r="G21" s="5"/>
      <c r="H21" s="5"/>
      <c r="I21" s="31"/>
      <c r="J21" s="31"/>
      <c r="K21" s="31"/>
      <c r="L21" s="32" t="str">
        <f t="shared" si="0"/>
        <v>0 H</v>
      </c>
      <c r="M21" s="17"/>
    </row>
    <row r="22" spans="1:13" ht="15.75" customHeight="1" x14ac:dyDescent="0.2">
      <c r="A22" s="17"/>
      <c r="B22" s="95" t="s">
        <v>28</v>
      </c>
      <c r="C22" s="95"/>
      <c r="D22" s="95"/>
      <c r="E22" s="31"/>
      <c r="F22" s="19"/>
      <c r="G22" s="5"/>
      <c r="H22" s="5"/>
      <c r="I22" s="31"/>
      <c r="J22" s="31"/>
      <c r="K22" s="31"/>
      <c r="L22" s="32" t="str">
        <f t="shared" si="0"/>
        <v>0 H</v>
      </c>
      <c r="M22" s="17"/>
    </row>
    <row r="23" spans="1:13" ht="15.75" customHeight="1" x14ac:dyDescent="0.2">
      <c r="A23" s="17"/>
      <c r="B23" s="96" t="s">
        <v>29</v>
      </c>
      <c r="C23" s="96"/>
      <c r="D23" s="96"/>
      <c r="E23" s="31"/>
      <c r="F23" s="19"/>
      <c r="G23" s="5"/>
      <c r="H23" s="5"/>
      <c r="I23" s="31"/>
      <c r="J23" s="31"/>
      <c r="K23" s="31"/>
      <c r="L23" s="32" t="str">
        <f t="shared" si="0"/>
        <v>0 H</v>
      </c>
      <c r="M23" s="17"/>
    </row>
    <row r="24" spans="1:13" ht="15.75" customHeight="1" x14ac:dyDescent="0.2">
      <c r="A24" s="17"/>
      <c r="B24" s="96" t="s">
        <v>30</v>
      </c>
      <c r="C24" s="96"/>
      <c r="D24" s="96"/>
      <c r="E24" s="31"/>
      <c r="F24" s="19"/>
      <c r="G24" s="5"/>
      <c r="H24" s="5"/>
      <c r="I24" s="31"/>
      <c r="J24" s="31"/>
      <c r="K24" s="31"/>
      <c r="L24" s="32" t="str">
        <f t="shared" si="0"/>
        <v>0 H</v>
      </c>
      <c r="M24" s="17"/>
    </row>
    <row r="25" spans="1:13" ht="15.75" customHeight="1" x14ac:dyDescent="0.2">
      <c r="A25" s="17"/>
      <c r="B25" s="96" t="s">
        <v>31</v>
      </c>
      <c r="C25" s="96"/>
      <c r="D25" s="96"/>
      <c r="E25" s="23">
        <f>IF(G4="CAMPING CAR",E24+K27+K45+790,E24+K27+K45+380)</f>
        <v>1180</v>
      </c>
      <c r="F25" s="19"/>
      <c r="G25" s="5"/>
      <c r="H25" s="5"/>
      <c r="I25" s="31"/>
      <c r="J25" s="31"/>
      <c r="K25" s="31"/>
      <c r="L25" s="32" t="str">
        <f t="shared" si="0"/>
        <v>0 H</v>
      </c>
      <c r="M25" s="17"/>
    </row>
    <row r="26" spans="1:13" ht="15.75" customHeight="1" x14ac:dyDescent="0.2">
      <c r="A26" s="17"/>
      <c r="B26" s="95" t="s">
        <v>32</v>
      </c>
      <c r="C26" s="95"/>
      <c r="D26" s="95"/>
      <c r="E26" s="31"/>
      <c r="F26" s="19"/>
      <c r="G26" s="5"/>
      <c r="H26" s="5"/>
      <c r="I26" s="31"/>
      <c r="J26" s="31"/>
      <c r="K26" s="31"/>
      <c r="L26" s="32" t="str">
        <f t="shared" si="0"/>
        <v>0 H</v>
      </c>
      <c r="M26" s="17"/>
    </row>
    <row r="27" spans="1:13" ht="30" customHeight="1" x14ac:dyDescent="0.2">
      <c r="A27" s="17"/>
      <c r="B27" s="96" t="s">
        <v>33</v>
      </c>
      <c r="C27" s="96"/>
      <c r="D27" s="36">
        <f>IF(E27=0,0,E27/E25)</f>
        <v>1</v>
      </c>
      <c r="E27" s="23">
        <f>IF(OR(E25=590,E25=380),0,E25-E26)</f>
        <v>1180</v>
      </c>
      <c r="F27" s="19"/>
      <c r="G27" s="97" t="s">
        <v>34</v>
      </c>
      <c r="H27" s="97"/>
      <c r="I27" s="38">
        <f>SUM(I12:I26)</f>
        <v>0</v>
      </c>
      <c r="J27" s="38">
        <f>SUM(J12:J26)</f>
        <v>0</v>
      </c>
      <c r="K27" s="38">
        <f>SUM(K12:K26)</f>
        <v>0</v>
      </c>
      <c r="L27" s="37" t="str">
        <f>J27/50&amp;" HEURES"</f>
        <v>0 HEURES</v>
      </c>
      <c r="M27" s="17"/>
    </row>
    <row r="28" spans="1:13" ht="15.75" customHeight="1" x14ac:dyDescent="0.2">
      <c r="A28" s="17"/>
      <c r="B28" s="26"/>
      <c r="C28" s="26"/>
      <c r="D28" s="39">
        <f>IF(AND(G4="CAMPING CAR",C13=2027),12%,(IF(AND(G4="CAMPING CAR",C13=2026),11%,(IF(AND(G4="CAMPING CAR",C13=2025),8%,(IF(AND(G4="CAMPING CAR",C13="2024 &amp; &lt;"),"DESTOCKAGE",(IF(AND(G4="CARAVANE",C13=2026),14%,(IF(AND(G4="CARAVANE",C13=2025),12%,(IF(AND(G4="CARAVANE",C13=2024),10%,(IF(AND(G4="CARAVANE",C13="2023 &amp; &lt;"),"DESTOCKAGE",(IF(C13="DESTOCKAGE = VALIDATION","DESTOCKAGE","COLLECTION")))))))))))))))))</f>
      </c>
      <c r="E28" s="40">
        <f>IFERROR((((E19)+(E20+E21+E22+E23+I4+I7+I27+J27+I45+J45))/(1-D28)*1.2),"DESTOCKAGE")</f>
        <v>1850.4545454545453</v>
      </c>
      <c r="F28" s="19"/>
      <c r="G28" s="41"/>
      <c r="H28" s="41"/>
      <c r="I28" s="41"/>
      <c r="J28" s="41"/>
      <c r="K28" s="41"/>
      <c r="L28" s="41"/>
      <c r="M28" s="17"/>
    </row>
    <row r="29" spans="1:13" ht="30" customHeight="1" x14ac:dyDescent="0.2">
      <c r="A29" s="17"/>
      <c r="B29" s="98" t="s">
        <v>35</v>
      </c>
      <c r="C29" s="98"/>
      <c r="D29" s="98"/>
      <c r="E29" s="42">
        <f>SUM(E30:E31)</f>
        <v>0</v>
      </c>
      <c r="F29" s="19"/>
      <c r="G29" s="99" t="s">
        <v>36</v>
      </c>
      <c r="H29" s="99"/>
      <c r="I29" s="99"/>
      <c r="J29" s="99"/>
      <c r="K29" s="99"/>
      <c r="L29" s="99"/>
      <c r="M29" s="17"/>
    </row>
    <row r="30" spans="1:13" ht="30" customHeight="1" x14ac:dyDescent="0.2">
      <c r="A30" s="17"/>
      <c r="B30" s="100" t="s">
        <v>37</v>
      </c>
      <c r="C30" s="100"/>
      <c r="D30" s="100"/>
      <c r="E30" s="43">
        <f>IFERROR(IF(E19&gt;0,((E28/1.2)-(E19+E20+E21+E22+E23+I4+I7+I27+J27+I45+J45)),0),"DESTOCKAGE")</f>
        <v>0</v>
      </c>
      <c r="F30" s="19"/>
      <c r="G30" s="101" t="s">
        <v>38</v>
      </c>
      <c r="H30" s="101"/>
      <c r="I30" s="44" t="s">
        <v>39</v>
      </c>
      <c r="J30" s="44" t="s">
        <v>40</v>
      </c>
      <c r="K30" s="44" t="s">
        <v>18</v>
      </c>
      <c r="L30" s="44" t="s">
        <v>19</v>
      </c>
      <c r="M30" s="17"/>
    </row>
    <row r="31" spans="1:13" ht="15.75" customHeight="1" x14ac:dyDescent="0.2">
      <c r="A31" s="17"/>
      <c r="B31" s="100" t="s">
        <v>41</v>
      </c>
      <c r="C31" s="100"/>
      <c r="D31" s="100"/>
      <c r="E31" s="43">
        <f>IF(E19&gt;0,(E25)*0.3*0.06,0)</f>
        <v>0</v>
      </c>
      <c r="F31" s="19"/>
      <c r="G31" s="102" t="s">
        <v>42</v>
      </c>
      <c r="H31" s="102"/>
      <c r="I31" s="45">
        <f>IF(G4="CAMPING CAR",600,0)</f>
        <v>600</v>
      </c>
      <c r="J31" s="46"/>
      <c r="K31" s="46"/>
      <c r="L31" s="47" t="str">
        <f t="shared" ref="L31:L44" si="1">J31/50&amp;" H"</f>
        <v>0 H</v>
      </c>
      <c r="M31" s="17"/>
    </row>
    <row r="32" spans="1:13" ht="15.75" customHeight="1" x14ac:dyDescent="0.2">
      <c r="A32" s="17"/>
      <c r="B32" s="26"/>
      <c r="C32" s="26"/>
      <c r="D32" s="26"/>
      <c r="E32" s="26"/>
      <c r="F32" s="19"/>
      <c r="G32" s="103" t="str">
        <f>IF(G7="PAS D'EXPO","PAS D'EXPO",IF(G7="EXPO DE L'ANNEE (OU CARAVANE)","EXPO DE L'ANNEE (OU CARAVANE) (+ 1H MO)",IF(G7="EXPO 1 AN","EXPO 1 AN (+ Vidange sans filtre et 2H MO)","EXPO 2 ANS (+ Vidange avec filtre à huile, Chgt de batterie et 3H MO)")))</f>
        <v>PAS D'EXPO</v>
      </c>
      <c r="H32" s="103"/>
      <c r="I32" s="45">
        <f>IF(G7="PAS D'EXPO",0,IF(G7="EXPO DE L'ANNEE (OU CARAVANE)",0,IF(G7="EXPO 1 AN",50,342)))</f>
        <v>0</v>
      </c>
      <c r="J32" s="45">
        <f>IF(G7="PAS D'EXPO",0,IF(G7="EXPO DE L'ANNEE (OU CARAVANE)",50,IF(G7="EXPO 1 AN",100,200)))</f>
        <v>0</v>
      </c>
      <c r="K32" s="48"/>
      <c r="L32" s="49" t="str">
        <f t="shared" si="1"/>
        <v>0 H</v>
      </c>
      <c r="M32" s="17"/>
    </row>
    <row r="33" spans="1:13" ht="15.75" customHeight="1" x14ac:dyDescent="0.2">
      <c r="A33" s="17"/>
      <c r="B33" s="104" t="s">
        <v>43</v>
      </c>
      <c r="C33" s="104"/>
      <c r="D33" s="104"/>
      <c r="E33" s="50">
        <f>SUM(E34:E35)</f>
        <v>0</v>
      </c>
      <c r="F33" s="19"/>
      <c r="G33" s="5" t="s">
        <v>44</v>
      </c>
      <c r="H33" s="5"/>
      <c r="I33" s="31">
        <f>IF(G33="Camping car avec batterie",0,IF(G33="Batterie gel 105Ah",192,384))</f>
        <v>192</v>
      </c>
      <c r="J33" s="31">
        <f>IF(G33="Camping car avec batterie",0,IF(G33="Batterie gel 105Ah",50,150))</f>
        <v>50</v>
      </c>
      <c r="K33" s="31">
        <f>IF(G33="Camping car avec batterie",0,IF(G33="Batterie gel 105Ah",390,890))</f>
        <v>390</v>
      </c>
      <c r="L33" s="51" t="str">
        <f t="shared" si="1"/>
        <v>1 H</v>
      </c>
      <c r="M33" s="17"/>
    </row>
    <row r="34" spans="1:13" ht="15.75" customHeight="1" x14ac:dyDescent="0.2">
      <c r="A34" s="17"/>
      <c r="B34" s="105" t="s">
        <v>45</v>
      </c>
      <c r="C34" s="105"/>
      <c r="D34" s="36">
        <f>IF(E26=0,0,E34/(E26/1.2))</f>
        <v>0</v>
      </c>
      <c r="E34" s="52">
        <f>IF(E19&gt;0,((E26/1.2)-E23-E22-E21-E20-E19-I27-J27-I45-J45-I4-I7),0)</f>
        <v>0</v>
      </c>
      <c r="F34" s="19"/>
      <c r="G34" s="106" t="s">
        <v>46</v>
      </c>
      <c r="H34" s="106"/>
      <c r="I34" s="31">
        <v>180</v>
      </c>
      <c r="J34" s="48"/>
      <c r="K34" s="48"/>
      <c r="L34" s="49" t="str">
        <f t="shared" si="1"/>
        <v>0 H</v>
      </c>
      <c r="M34" s="17"/>
    </row>
    <row r="35" spans="1:13" ht="15.75" customHeight="1" x14ac:dyDescent="0.2">
      <c r="A35" s="17"/>
      <c r="B35" s="105" t="s">
        <v>41</v>
      </c>
      <c r="C35" s="105"/>
      <c r="D35" s="105"/>
      <c r="E35" s="52">
        <f>E40*0.06</f>
        <v>0</v>
      </c>
      <c r="F35" s="19"/>
      <c r="G35" s="97"/>
      <c r="H35" s="97"/>
      <c r="I35" s="53"/>
      <c r="J35" s="53"/>
      <c r="K35" s="53"/>
      <c r="L35" s="49" t="str">
        <f t="shared" si="1"/>
        <v>0 H</v>
      </c>
      <c r="M35" s="17"/>
    </row>
    <row r="36" spans="1:13" ht="15.75" customHeight="1" x14ac:dyDescent="0.2">
      <c r="A36" s="17"/>
      <c r="B36" s="19"/>
      <c r="C36" s="19"/>
      <c r="D36" s="19"/>
      <c r="E36" s="19"/>
      <c r="F36" s="19"/>
      <c r="G36" s="107"/>
      <c r="H36" s="107"/>
      <c r="I36" s="53"/>
      <c r="J36" s="53"/>
      <c r="K36" s="53"/>
      <c r="L36" s="49" t="str">
        <f t="shared" si="1"/>
        <v>0 H</v>
      </c>
      <c r="M36" s="17"/>
    </row>
    <row r="37" spans="1:13" ht="15.75" customHeight="1" x14ac:dyDescent="0.2">
      <c r="A37" s="17"/>
      <c r="B37" s="12" t="s">
        <v>47</v>
      </c>
      <c r="C37" s="12"/>
      <c r="D37" s="12"/>
      <c r="E37" s="12"/>
      <c r="F37" s="19"/>
      <c r="G37" s="108"/>
      <c r="H37" s="108"/>
      <c r="I37" s="53"/>
      <c r="J37" s="53"/>
      <c r="K37" s="53"/>
      <c r="L37" s="49" t="str">
        <f t="shared" si="1"/>
        <v>0 H</v>
      </c>
      <c r="M37" s="17"/>
    </row>
    <row r="38" spans="1:13" ht="15.75" customHeight="1" x14ac:dyDescent="0.2">
      <c r="A38" s="17"/>
      <c r="B38" s="100" t="s">
        <v>47</v>
      </c>
      <c r="C38" s="100"/>
      <c r="D38" s="100"/>
      <c r="E38" s="54" t="s">
        <v>48</v>
      </c>
      <c r="F38" s="19"/>
      <c r="G38" s="108"/>
      <c r="H38" s="108"/>
      <c r="I38" s="53"/>
      <c r="J38" s="53"/>
      <c r="K38" s="53"/>
      <c r="L38" s="49" t="str">
        <f t="shared" si="1"/>
        <v>0 H</v>
      </c>
      <c r="M38" s="17"/>
    </row>
    <row r="39" spans="1:13" ht="15.75" customHeight="1" x14ac:dyDescent="0.2">
      <c r="A39" s="17"/>
      <c r="B39" s="100" t="s">
        <v>49</v>
      </c>
      <c r="C39" s="100"/>
      <c r="D39" s="100"/>
      <c r="E39" s="21"/>
      <c r="F39" s="19"/>
      <c r="G39" s="108"/>
      <c r="H39" s="108"/>
      <c r="I39" s="53"/>
      <c r="J39" s="53"/>
      <c r="K39" s="53"/>
      <c r="L39" s="49" t="str">
        <f t="shared" si="1"/>
        <v>0 H</v>
      </c>
      <c r="M39" s="17"/>
    </row>
    <row r="40" spans="1:13" ht="15.75" customHeight="1" x14ac:dyDescent="0.2">
      <c r="A40" s="17"/>
      <c r="B40" s="100" t="s">
        <v>50</v>
      </c>
      <c r="C40" s="100"/>
      <c r="D40" s="100"/>
      <c r="E40" s="31"/>
      <c r="F40" s="19"/>
      <c r="G40" s="108"/>
      <c r="H40" s="108"/>
      <c r="I40" s="53"/>
      <c r="J40" s="53"/>
      <c r="K40" s="53"/>
      <c r="L40" s="49" t="str">
        <f t="shared" si="1"/>
        <v>0 H</v>
      </c>
      <c r="M40" s="17"/>
    </row>
    <row r="41" spans="1:13" ht="15.75" customHeight="1" x14ac:dyDescent="0.2">
      <c r="A41" s="17"/>
      <c r="B41" s="109"/>
      <c r="C41" s="109"/>
      <c r="D41" s="109"/>
      <c r="E41" s="55"/>
      <c r="F41" s="19"/>
      <c r="G41" s="108"/>
      <c r="H41" s="108"/>
      <c r="I41" s="53"/>
      <c r="J41" s="53"/>
      <c r="K41" s="53"/>
      <c r="L41" s="49" t="str">
        <f t="shared" si="1"/>
        <v>0 H</v>
      </c>
      <c r="M41" s="17"/>
    </row>
    <row r="42" spans="1:13" ht="15.75" customHeight="1" x14ac:dyDescent="0.2">
      <c r="A42" s="17"/>
      <c r="B42" s="12" t="s">
        <v>51</v>
      </c>
      <c r="C42" s="12"/>
      <c r="D42" s="12"/>
      <c r="E42" s="12"/>
      <c r="F42" s="19"/>
      <c r="G42" s="108"/>
      <c r="H42" s="108"/>
      <c r="I42" s="53"/>
      <c r="J42" s="53"/>
      <c r="K42" s="53"/>
      <c r="L42" s="49" t="str">
        <f t="shared" si="1"/>
        <v>0 H</v>
      </c>
      <c r="M42" s="17"/>
    </row>
    <row r="43" spans="1:13" ht="15.75" customHeight="1" x14ac:dyDescent="0.2">
      <c r="A43" s="17"/>
      <c r="B43" s="100" t="s">
        <v>51</v>
      </c>
      <c r="C43" s="100"/>
      <c r="D43" s="100"/>
      <c r="E43" s="54" t="s">
        <v>52</v>
      </c>
      <c r="F43" s="19"/>
      <c r="G43" s="108"/>
      <c r="H43" s="108"/>
      <c r="I43" s="53"/>
      <c r="J43" s="53"/>
      <c r="K43" s="53"/>
      <c r="L43" s="49" t="str">
        <f t="shared" si="1"/>
        <v>0 H</v>
      </c>
      <c r="M43" s="17"/>
    </row>
    <row r="44" spans="1:13" ht="15.75" customHeight="1" x14ac:dyDescent="0.2">
      <c r="A44" s="17"/>
      <c r="B44" s="100" t="s">
        <v>53</v>
      </c>
      <c r="C44" s="100"/>
      <c r="D44" s="100"/>
      <c r="E44" s="31"/>
      <c r="F44" s="19"/>
      <c r="G44" s="110"/>
      <c r="H44" s="110"/>
      <c r="I44" s="56"/>
      <c r="J44" s="56"/>
      <c r="K44" s="56"/>
      <c r="L44" s="57" t="str">
        <f t="shared" si="1"/>
        <v>0 H</v>
      </c>
      <c r="M44" s="17"/>
    </row>
    <row r="45" spans="1:13" ht="30" customHeight="1" x14ac:dyDescent="0.2">
      <c r="A45" s="17"/>
      <c r="B45" s="100" t="s">
        <v>54</v>
      </c>
      <c r="C45" s="100"/>
      <c r="D45" s="100"/>
      <c r="E45" s="58"/>
      <c r="F45" s="19"/>
      <c r="G45" s="97" t="s">
        <v>34</v>
      </c>
      <c r="H45" s="97"/>
      <c r="I45" s="38">
        <f>SUM(I31:I44)</f>
        <v>972</v>
      </c>
      <c r="J45" s="38">
        <f>SUM(J31:J44)</f>
        <v>50</v>
      </c>
      <c r="K45" s="38">
        <f>SUM(K31:K44)</f>
        <v>390</v>
      </c>
      <c r="L45" s="37" t="str">
        <f>J45/50&amp;" HEURES"</f>
        <v>1 HEURES</v>
      </c>
      <c r="M45" s="17"/>
    </row>
    <row r="46" spans="1:13" s="15" customFormat="1" ht="15.75" customHeight="1" x14ac:dyDescent="0.2">
      <c r="A46" s="17"/>
      <c r="B46" s="111"/>
      <c r="C46" s="111"/>
      <c r="D46" s="111"/>
      <c r="E46" s="111"/>
      <c r="F46" s="19"/>
      <c r="G46" s="19"/>
      <c r="H46" s="19"/>
      <c r="I46" s="19"/>
      <c r="J46" s="19"/>
      <c r="K46" s="19"/>
      <c r="L46" s="19"/>
      <c r="M46" s="17"/>
    </row>
    <row r="47" spans="1:13" s="15" customFormat="1" ht="15.75" customHeight="1" x14ac:dyDescent="0.2">
      <c r="A47" s="17"/>
      <c r="B47" s="112" t="s">
        <v>55</v>
      </c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7"/>
    </row>
    <row r="48" spans="1:13" s="15" customFormat="1" ht="15.75" customHeight="1" x14ac:dyDescent="0.2">
      <c r="A48" s="17"/>
      <c r="B48" s="113" t="s">
        <v>56</v>
      </c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7"/>
    </row>
    <row r="49" spans="1:13" s="15" customFormat="1" ht="15.75" customHeight="1" x14ac:dyDescent="0.2">
      <c r="A49" s="17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7"/>
    </row>
    <row r="50" spans="1:13" s="15" customFormat="1" ht="15.75" customHeight="1" x14ac:dyDescent="0.2">
      <c r="A50" s="17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7"/>
    </row>
    <row r="51" spans="1:13" s="15" customFormat="1" ht="15.75" customHeight="1" x14ac:dyDescent="0.2">
      <c r="A51" s="17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7"/>
    </row>
    <row r="52" spans="1:13" s="15" customFormat="1" ht="15.75" customHeight="1" x14ac:dyDescent="0.2">
      <c r="A52" s="17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7"/>
    </row>
    <row r="53" spans="1:13" s="15" customFormat="1" ht="15.75" customHeight="1" x14ac:dyDescent="0.2">
      <c r="A53" s="17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7"/>
    </row>
    <row r="54" spans="1:13" s="15" customFormat="1" ht="15.75" customHeight="1" x14ac:dyDescent="0.2">
      <c r="A54" s="17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7"/>
    </row>
    <row r="55" spans="1:13" s="15" customFormat="1" ht="15.75" customHeight="1" x14ac:dyDescent="0.2">
      <c r="A55" s="17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7"/>
    </row>
    <row r="56" spans="1:13" s="15" customFormat="1" ht="15.75" customHeight="1" x14ac:dyDescent="0.2">
      <c r="A56" s="17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7"/>
    </row>
    <row r="57" spans="1:13" s="15" customFormat="1" ht="15.75" customHeight="1" x14ac:dyDescent="0.2">
      <c r="A57" s="17"/>
      <c r="B57" s="113" t="s">
        <v>57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7"/>
    </row>
    <row r="58" spans="1:13" s="15" customFormat="1" ht="15.75" customHeight="1" x14ac:dyDescent="0.2">
      <c r="A58" s="17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7"/>
    </row>
    <row r="59" spans="1:13" s="15" customFormat="1" ht="15.75" customHeight="1" x14ac:dyDescent="0.2">
      <c r="A59" s="17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7"/>
    </row>
    <row r="60" spans="1:13" s="15" customFormat="1" ht="15.75" customHeight="1" x14ac:dyDescent="0.2">
      <c r="A60" s="17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7"/>
    </row>
    <row r="61" spans="1:13" s="15" customFormat="1" ht="15.75" customHeight="1" x14ac:dyDescent="0.2">
      <c r="A61" s="17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7"/>
    </row>
    <row r="62" spans="1:13" ht="15.75" customHeight="1" x14ac:dyDescent="0.2">
      <c r="A62" s="17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7"/>
    </row>
    <row r="63" spans="1:13" ht="15.75" customHeight="1" x14ac:dyDescent="0.2">
      <c r="A63" s="17"/>
      <c r="B63" s="113" t="s">
        <v>58</v>
      </c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7"/>
    </row>
    <row r="64" spans="1:13" ht="15.75" customHeight="1" x14ac:dyDescent="0.2">
      <c r="A64" s="17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7"/>
    </row>
    <row r="65" spans="1:13" ht="15.75" customHeight="1" x14ac:dyDescent="0.2">
      <c r="A65" s="17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7"/>
    </row>
    <row r="66" spans="1:13" ht="15.75" customHeight="1" x14ac:dyDescent="0.2">
      <c r="A66" s="17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7"/>
    </row>
    <row r="67" spans="1:13" ht="15.75" customHeight="1" x14ac:dyDescent="0.2">
      <c r="A67" s="17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7"/>
    </row>
    <row r="68" spans="1:13" ht="15.75" customHeight="1" x14ac:dyDescent="0.2">
      <c r="A68" s="17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7"/>
    </row>
    <row r="69" spans="1:13" ht="15.75" customHeight="1" x14ac:dyDescent="0.2">
      <c r="A69" s="17"/>
      <c r="B69" s="12" t="s">
        <v>59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7"/>
    </row>
    <row r="70" spans="1:13" ht="30" customHeight="1" x14ac:dyDescent="0.2">
      <c r="A70" s="17"/>
      <c r="B70" s="97" t="s">
        <v>60</v>
      </c>
      <c r="C70" s="97"/>
      <c r="D70" s="97"/>
      <c r="E70" s="97"/>
      <c r="F70" s="97"/>
      <c r="G70" s="44" t="s">
        <v>61</v>
      </c>
      <c r="H70" s="44" t="s">
        <v>62</v>
      </c>
      <c r="I70" s="44" t="s">
        <v>63</v>
      </c>
      <c r="J70" s="44" t="s">
        <v>64</v>
      </c>
      <c r="K70" s="101" t="s">
        <v>65</v>
      </c>
      <c r="L70" s="101"/>
      <c r="M70" s="17"/>
    </row>
    <row r="71" spans="1:13" ht="18" customHeight="1" x14ac:dyDescent="0.2">
      <c r="A71" s="17"/>
      <c r="B71" s="5"/>
      <c r="C71" s="5"/>
      <c r="D71" s="5"/>
      <c r="E71" s="5"/>
      <c r="F71" s="5"/>
      <c r="G71" s="60"/>
      <c r="H71" s="61"/>
      <c r="I71" s="61"/>
      <c r="J71" s="61"/>
      <c r="K71" s="5"/>
      <c r="L71" s="5"/>
      <c r="M71" s="17"/>
    </row>
    <row r="72" spans="1:13" ht="18" customHeight="1" x14ac:dyDescent="0.2">
      <c r="A72" s="17"/>
      <c r="B72" s="5"/>
      <c r="C72" s="5"/>
      <c r="D72" s="5"/>
      <c r="E72" s="5"/>
      <c r="F72" s="5"/>
      <c r="G72" s="60"/>
      <c r="H72" s="61"/>
      <c r="I72" s="61"/>
      <c r="J72" s="61"/>
      <c r="K72" s="5"/>
      <c r="L72" s="5"/>
      <c r="M72" s="17"/>
    </row>
    <row r="73" spans="1:13" ht="18" customHeight="1" x14ac:dyDescent="0.2">
      <c r="A73" s="17"/>
      <c r="B73" s="5"/>
      <c r="C73" s="5"/>
      <c r="D73" s="5"/>
      <c r="E73" s="5"/>
      <c r="F73" s="5"/>
      <c r="G73" s="60"/>
      <c r="H73" s="61"/>
      <c r="I73" s="61"/>
      <c r="J73" s="61"/>
      <c r="K73" s="5"/>
      <c r="L73" s="5"/>
      <c r="M73" s="17"/>
    </row>
    <row r="74" spans="1:13" ht="18" customHeight="1" x14ac:dyDescent="0.2">
      <c r="A74" s="17"/>
      <c r="B74" s="5"/>
      <c r="C74" s="5"/>
      <c r="D74" s="5"/>
      <c r="E74" s="5"/>
      <c r="F74" s="5"/>
      <c r="G74" s="60"/>
      <c r="H74" s="61"/>
      <c r="I74" s="61"/>
      <c r="J74" s="61"/>
      <c r="K74" s="5"/>
      <c r="L74" s="5"/>
      <c r="M74" s="17"/>
    </row>
    <row r="75" spans="1:13" ht="18" customHeight="1" x14ac:dyDescent="0.2">
      <c r="A75" s="17"/>
      <c r="B75" s="5"/>
      <c r="C75" s="5"/>
      <c r="D75" s="5"/>
      <c r="E75" s="5"/>
      <c r="F75" s="5"/>
      <c r="G75" s="60"/>
      <c r="H75" s="61"/>
      <c r="I75" s="61"/>
      <c r="J75" s="61"/>
      <c r="K75" s="5"/>
      <c r="L75" s="5"/>
      <c r="M75" s="17"/>
    </row>
    <row r="76" spans="1:13" ht="18" customHeight="1" x14ac:dyDescent="0.2">
      <c r="A76" s="17"/>
      <c r="B76" s="5"/>
      <c r="C76" s="5"/>
      <c r="D76" s="5"/>
      <c r="E76" s="5"/>
      <c r="F76" s="5"/>
      <c r="G76" s="60"/>
      <c r="H76" s="61"/>
      <c r="I76" s="61"/>
      <c r="J76" s="61"/>
      <c r="K76" s="5"/>
      <c r="L76" s="5"/>
      <c r="M76" s="17"/>
    </row>
    <row r="77" spans="1:13" ht="18" customHeight="1" x14ac:dyDescent="0.2">
      <c r="B77" s="5"/>
      <c r="C77" s="5"/>
      <c r="D77" s="5"/>
      <c r="E77" s="5"/>
      <c r="F77" s="5"/>
      <c r="G77" s="60"/>
      <c r="H77" s="61"/>
      <c r="I77" s="61"/>
      <c r="J77" s="61"/>
      <c r="K77" s="5"/>
      <c r="L77" s="5"/>
    </row>
    <row r="78" spans="1:13" ht="18" customHeight="1" x14ac:dyDescent="0.2">
      <c r="B78" s="5"/>
      <c r="C78" s="5"/>
      <c r="D78" s="5"/>
      <c r="E78" s="5"/>
      <c r="F78" s="5"/>
      <c r="G78" s="60"/>
      <c r="H78" s="61"/>
      <c r="I78" s="61"/>
      <c r="J78" s="61"/>
      <c r="K78" s="5"/>
      <c r="L78" s="5"/>
    </row>
    <row r="79" spans="1:13" ht="18" customHeight="1" x14ac:dyDescent="0.2">
      <c r="B79" s="5"/>
      <c r="C79" s="5"/>
      <c r="D79" s="5"/>
      <c r="E79" s="5"/>
      <c r="F79" s="5"/>
      <c r="G79" s="60"/>
      <c r="H79" s="61"/>
      <c r="I79" s="61"/>
      <c r="J79" s="61"/>
      <c r="K79" s="5"/>
      <c r="L79" s="5"/>
    </row>
    <row r="80" spans="1:13" ht="28.5" customHeight="1" x14ac:dyDescent="0.2"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17"/>
    </row>
  </sheetData>
  <sheetProtection algorithmName="SHA-512" hashValue="/wASsvoG9ayEzy/K9A7oaH8PogacoeBCd3q3uhpfLFA16Psyob4yPcsnQRSVZgAACnBfy4yQ6tDOJ9f8yom1Eg==" saltValue="iTZIbkeq8sPouSavm75XUQ==" spinCount="100000" sheet="1" formatCells="0" formatColumns="0" formatRows="0"/>
  <mergeCells count="130">
    <mergeCell ref="B77:F77"/>
    <mergeCell ref="K77:L77"/>
    <mergeCell ref="B78:F78"/>
    <mergeCell ref="K78:L78"/>
    <mergeCell ref="B79:F79"/>
    <mergeCell ref="K79:L79"/>
    <mergeCell ref="B72:F72"/>
    <mergeCell ref="K72:L72"/>
    <mergeCell ref="B73:F73"/>
    <mergeCell ref="K73:L73"/>
    <mergeCell ref="B74:F74"/>
    <mergeCell ref="K74:L74"/>
    <mergeCell ref="B75:F75"/>
    <mergeCell ref="K75:L75"/>
    <mergeCell ref="B76:F76"/>
    <mergeCell ref="K76:L76"/>
    <mergeCell ref="B64:L64"/>
    <mergeCell ref="B65:L65"/>
    <mergeCell ref="B66:L66"/>
    <mergeCell ref="B67:L67"/>
    <mergeCell ref="B68:L68"/>
    <mergeCell ref="B69:L69"/>
    <mergeCell ref="B70:F70"/>
    <mergeCell ref="K70:L70"/>
    <mergeCell ref="B71:F71"/>
    <mergeCell ref="K71:L71"/>
    <mergeCell ref="B55:L55"/>
    <mergeCell ref="B56:L56"/>
    <mergeCell ref="B57:L57"/>
    <mergeCell ref="B58:L58"/>
    <mergeCell ref="B59:L59"/>
    <mergeCell ref="B60:L60"/>
    <mergeCell ref="B61:L61"/>
    <mergeCell ref="B62:L62"/>
    <mergeCell ref="B63:L63"/>
    <mergeCell ref="B46:E46"/>
    <mergeCell ref="B47:L47"/>
    <mergeCell ref="B48:L48"/>
    <mergeCell ref="B49:L49"/>
    <mergeCell ref="B50:L50"/>
    <mergeCell ref="B51:L51"/>
    <mergeCell ref="B52:L52"/>
    <mergeCell ref="B53:L53"/>
    <mergeCell ref="B54:L54"/>
    <mergeCell ref="B41:D41"/>
    <mergeCell ref="G41:H41"/>
    <mergeCell ref="B42:E42"/>
    <mergeCell ref="G42:H42"/>
    <mergeCell ref="B43:D43"/>
    <mergeCell ref="G43:H43"/>
    <mergeCell ref="B44:D44"/>
    <mergeCell ref="G44:H44"/>
    <mergeCell ref="B45:D45"/>
    <mergeCell ref="G45:H45"/>
    <mergeCell ref="G36:H36"/>
    <mergeCell ref="B37:E37"/>
    <mergeCell ref="G37:H37"/>
    <mergeCell ref="B38:D38"/>
    <mergeCell ref="G38:H38"/>
    <mergeCell ref="B39:D39"/>
    <mergeCell ref="G39:H39"/>
    <mergeCell ref="B40:D40"/>
    <mergeCell ref="G40:H40"/>
    <mergeCell ref="B31:D31"/>
    <mergeCell ref="G31:H31"/>
    <mergeCell ref="G32:H32"/>
    <mergeCell ref="B33:D33"/>
    <mergeCell ref="G33:H33"/>
    <mergeCell ref="B34:C34"/>
    <mergeCell ref="G34:H34"/>
    <mergeCell ref="B35:D35"/>
    <mergeCell ref="G35:H35"/>
    <mergeCell ref="B25:D25"/>
    <mergeCell ref="G25:H25"/>
    <mergeCell ref="B26:D26"/>
    <mergeCell ref="G26:H26"/>
    <mergeCell ref="B27:C27"/>
    <mergeCell ref="G27:H27"/>
    <mergeCell ref="B29:D29"/>
    <mergeCell ref="G29:L29"/>
    <mergeCell ref="B30:D30"/>
    <mergeCell ref="G30:H30"/>
    <mergeCell ref="B20:D20"/>
    <mergeCell ref="G20:H20"/>
    <mergeCell ref="B21:D21"/>
    <mergeCell ref="G21:H21"/>
    <mergeCell ref="B22:D22"/>
    <mergeCell ref="G22:H22"/>
    <mergeCell ref="B23:D23"/>
    <mergeCell ref="G23:H23"/>
    <mergeCell ref="B24:D24"/>
    <mergeCell ref="G24:H24"/>
    <mergeCell ref="C15:E15"/>
    <mergeCell ref="G15:H15"/>
    <mergeCell ref="C16:E16"/>
    <mergeCell ref="G16:H16"/>
    <mergeCell ref="G17:H17"/>
    <mergeCell ref="B18:E18"/>
    <mergeCell ref="G18:H18"/>
    <mergeCell ref="B19:D19"/>
    <mergeCell ref="G19:H19"/>
    <mergeCell ref="B10:E10"/>
    <mergeCell ref="G10:L10"/>
    <mergeCell ref="C11:E11"/>
    <mergeCell ref="G11:H11"/>
    <mergeCell ref="C12:E12"/>
    <mergeCell ref="G12:H12"/>
    <mergeCell ref="C13:E13"/>
    <mergeCell ref="G13:H13"/>
    <mergeCell ref="C14:E14"/>
    <mergeCell ref="G14:H14"/>
    <mergeCell ref="C6:E6"/>
    <mergeCell ref="G6:H6"/>
    <mergeCell ref="I6:L6"/>
    <mergeCell ref="C7:E7"/>
    <mergeCell ref="G7:H8"/>
    <mergeCell ref="I7:J8"/>
    <mergeCell ref="K7:L8"/>
    <mergeCell ref="C8:E8"/>
    <mergeCell ref="G9:K9"/>
    <mergeCell ref="B1:G1"/>
    <mergeCell ref="H1:L1"/>
    <mergeCell ref="B3:E3"/>
    <mergeCell ref="G3:H3"/>
    <mergeCell ref="I3:L3"/>
    <mergeCell ref="C4:E4"/>
    <mergeCell ref="G4:H5"/>
    <mergeCell ref="I4:J5"/>
    <mergeCell ref="K4:L5"/>
    <mergeCell ref="C5:E5"/>
  </mergeCells>
  <conditionalFormatting sqref="B33:E33">
    <cfRule type="expression" dxfId="6" priority="2">
      <formula>$E$33&gt;$E$29</formula>
    </cfRule>
    <cfRule type="expression" dxfId="5" priority="3">
      <formula>$E$33&gt;$E$29</formula>
    </cfRule>
  </conditionalFormatting>
  <dataValidations count="7">
    <dataValidation type="list" allowBlank="1" showInputMessage="1" showErrorMessage="1" sqref="E39" xr:uid="{00000000-0002-0000-0000-000000000000}">
      <formula1>"CETELEM,FINANCO,LOISIRS FI,SANTANDER,VIAXEL"</formula1>
      <formula2>0</formula2>
    </dataValidation>
    <dataValidation type="list" allowBlank="1" showInputMessage="1" showErrorMessage="1" sqref="E38 E43" xr:uid="{00000000-0002-0000-0000-000001000000}">
      <formula1>OUINON</formula1>
      <formula2>0</formula2>
    </dataValidation>
    <dataValidation type="list" allowBlank="1" showInputMessage="1" showErrorMessage="1" sqref="C14:E14" xr:uid="{00000000-0002-0000-0000-000002000000}">
      <formula1>"STOCK,REASSORT,COMMANDE"</formula1>
      <formula2>0</formula2>
    </dataValidation>
    <dataValidation type="list" allowBlank="1" showInputMessage="1" showErrorMessage="1" sqref="G4" xr:uid="{00000000-0002-0000-0000-000003000000}">
      <formula1>"CAMPING CAR,CARAVANE"</formula1>
      <formula2>0</formula2>
    </dataValidation>
    <dataValidation type="list" allowBlank="1" showInputMessage="1" showErrorMessage="1" sqref="G7:H8" xr:uid="{00000000-0002-0000-0000-000004000000}">
      <formula1>"PAS D'EXPO,EXPO DE L'ANNEE (OU CARAVANE),EXPO 1 AN,EXPO 2 ANS"</formula1>
      <formula2>0</formula2>
    </dataValidation>
    <dataValidation type="list" allowBlank="1" showInputMessage="1" showErrorMessage="1" sqref="G33:H33" xr:uid="{00000000-0002-0000-0000-000005000000}">
      <formula1>"Camping car avec batterie,Batterie gel 105Ah,Pack 2 batteries gel 105Ah (incluant cosses et câblage supplémentaires)"</formula1>
      <formula2>0</formula2>
    </dataValidation>
    <dataValidation type="list" allowBlank="1" showInputMessage="1" showErrorMessage="1" sqref="C13:E13" xr:uid="{00000000-0002-0000-0000-000006000000}">
      <formula1>"2027,2026,2025,2024 &amp; &lt; = DESTOCKAGE"</formula1>
      <formula2>0</formula2>
    </dataValidation>
  </dataValidations>
  <printOptions horizontalCentered="1" verticalCentered="1"/>
  <pageMargins left="0.3" right="0.3" top="0.4" bottom="0.4" header="0.511811023622047" footer="0"/>
  <pageSetup paperSize="9" fitToHeight="0" orientation="landscape" horizontalDpi="300" verticalDpi="300"/>
  <headerFooter>
    <oddFooter>&amp;L&amp;F&amp;CRENTA VN&amp;R&amp;D 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5"/>
  <sheetViews>
    <sheetView showGridLines="0" zoomScaleNormal="100" workbookViewId="0">
      <selection activeCell="D13" sqref="D13"/>
    </sheetView>
  </sheetViews>
  <sheetFormatPr baseColWidth="10" defaultColWidth="10.6640625" defaultRowHeight="15" x14ac:dyDescent="0.2"/>
  <cols>
    <col min="1" max="1" width="16" customWidth="1"/>
    <col min="2" max="2" width="20" customWidth="1"/>
  </cols>
  <sheetData>
    <row r="3" spans="1:2" x14ac:dyDescent="0.2">
      <c r="A3" s="91" t="s">
        <v>48</v>
      </c>
      <c r="B3" s="59" t="s">
        <v>96</v>
      </c>
    </row>
    <row r="4" spans="1:2" x14ac:dyDescent="0.2">
      <c r="A4" s="91" t="s">
        <v>52</v>
      </c>
      <c r="B4" s="59" t="s">
        <v>97</v>
      </c>
    </row>
    <row r="5" spans="1:2" x14ac:dyDescent="0.2">
      <c r="A5" s="91" t="s">
        <v>98</v>
      </c>
      <c r="B5" s="59" t="s">
        <v>99</v>
      </c>
    </row>
  </sheetData>
  <sheetProtection sheet="1" formatCells="0" formatColumns="0" formatRows="0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5</vt:i4>
      </vt:variant>
    </vt:vector>
  </HeadingPairs>
  <TitlesOfParts>
    <vt:vector size="8" baseType="lpstr">
      <vt:lpstr>RENTA VN</vt:lpstr>
      <vt:lpstr>RENTA VO</vt:lpstr>
      <vt:lpstr>DONNEES</vt:lpstr>
      <vt:lpstr>OUINON</vt:lpstr>
      <vt:lpstr>ouinonstock</vt:lpstr>
      <vt:lpstr>PARTENAIRE</vt:lpstr>
      <vt:lpstr>'RENTA VN'!Zone_d_impression</vt:lpstr>
      <vt:lpstr>'RENTA VO'!Zone_d_impression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</dc:creator>
  <dc:description/>
  <cp:lastModifiedBy>Thibault YpoCamp Espace CECV</cp:lastModifiedBy>
  <cp:revision>0</cp:revision>
  <cp:lastPrinted>2021-01-30T11:01:40Z</cp:lastPrinted>
  <dcterms:created xsi:type="dcterms:W3CDTF">2008-06-14T10:38:41Z</dcterms:created>
  <dcterms:modified xsi:type="dcterms:W3CDTF">2026-07-30T15:22:35Z</dcterms:modified>
  <dc:language>en-US</dc:language>
</cp:coreProperties>
</file>