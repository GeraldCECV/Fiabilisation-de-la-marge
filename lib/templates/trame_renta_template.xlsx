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TA VN" state="visible" r:id="rId4"/>
  </sheets>
  <calcPr calcId="171027"/>
</workbook>
</file>

<file path=xl/sharedStrings.xml><?xml version="1.0" encoding="utf-8"?>
<sst xmlns="http://schemas.openxmlformats.org/spreadsheetml/2006/main" count="61" uniqueCount="52">
  <si>
    <t>RENTABILITE VEHICULE NEUF</t>
  </si>
  <si>
    <t>INFORMATIONS</t>
  </si>
  <si>
    <t>TYPE DE VEHICULE DE LOISIRS</t>
  </si>
  <si>
    <t>FORFAIT ADMIN (GASOIL, PLAQUES, KIT SECURITE...)</t>
  </si>
  <si>
    <t>DATE DE COMMANDE</t>
  </si>
  <si>
    <t>CAMPING CAR</t>
  </si>
  <si>
    <t>DATE TRAME DE RENTA</t>
  </si>
  <si>
    <t>NOM PRENOM DU CLIENT</t>
  </si>
  <si>
    <t>DUREE D'EXPOSITION</t>
  </si>
  <si>
    <t>VENDEUR</t>
  </si>
  <si>
    <t>PAS D'EXPO</t>
  </si>
  <si>
    <t>COMMISSION VENDEUR (ESTIMEE)</t>
  </si>
  <si>
    <t>VEHICULE</t>
  </si>
  <si>
    <t>OPTIONS USINE</t>
  </si>
  <si>
    <t>MARQUE</t>
  </si>
  <si>
    <t>DESIGNATION ( + REF USINE)</t>
  </si>
  <si>
    <t>PRIX D'ACHAT HT</t>
  </si>
  <si>
    <t>CESSION POSE YPO</t>
  </si>
  <si>
    <t>PRIX TTC CLIENT</t>
  </si>
  <si>
    <t>TEMPS DE POSE</t>
  </si>
  <si>
    <t>MODELE</t>
  </si>
  <si>
    <t>COLLECTION</t>
  </si>
  <si>
    <t>STOCK / COMMANDE</t>
  </si>
  <si>
    <t>N° DE CHASSIS / COMMANDE</t>
  </si>
  <si>
    <t>DATE DE LIVRAISON</t>
  </si>
  <si>
    <t>PRIX VDL</t>
  </si>
  <si>
    <t>FRAIS DE SORTIE USINE</t>
  </si>
  <si>
    <t>TRANSPORT USINE</t>
  </si>
  <si>
    <t>CESSION ODOO + TRAVAUX EXTERIEURS + ENCOURS</t>
  </si>
  <si>
    <t>TRANSPORT InterSite pour rapatriement véhicule</t>
  </si>
  <si>
    <t>PRIX CATALOGUE (HORS FORFAIT ADMIN)</t>
  </si>
  <si>
    <t>PRIX AVEC OPTIONS, EQUIPEMENTS ET FORFAIT</t>
  </si>
  <si>
    <t>PRIX BAS BDC TTC (HORS CARTE GRISE)</t>
  </si>
  <si>
    <t>REMISE</t>
  </si>
  <si>
    <t>TOTAL</t>
  </si>
  <si>
    <t>PREPARATION YPOCAMP / TOP ACCESSOIRES / SOUS-TRAITANT</t>
  </si>
  <si>
    <t>MARGE VDL</t>
  </si>
  <si>
    <t>DESIGNATION ( + REF TOP)</t>
  </si>
  <si>
    <t>CESSION PIECE</t>
  </si>
  <si>
    <t>CESSION MO</t>
  </si>
  <si>
    <t>MARGE FINANCEMENT</t>
  </si>
  <si>
    <t>PROVISION SUR EFFORT COMMERCIAL APRES VENTE</t>
  </si>
  <si>
    <t>Camping car avec batterie</t>
  </si>
  <si>
    <t>Préparation esthétique par sous-traitant</t>
  </si>
  <si>
    <t>FINANCEMENT</t>
  </si>
  <si>
    <t>NON</t>
  </si>
  <si>
    <t>ORGANISME</t>
  </si>
  <si>
    <t>MONTANT DU FINANCEMENT</t>
  </si>
  <si>
    <t>RACHAT</t>
  </si>
  <si>
    <t>MONTANT DU RACHAT</t>
  </si>
  <si>
    <t>PRIX AFFICHE SUR PARC PREVU</t>
  </si>
  <si>
    <t>BON DE PREPARATION / 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</si>
</sst>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&quot; € TTC CLIENT&quot;"/>
    <numFmt numFmtId="166" formatCode="#,##0&quot; €&quot;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2"/>
    </font>
    <font>
      <b/>
      <color rgb="FFFFFFFF"/>
      <sz val="10"/>
    </font>
    <font>
      <b/>
      <color rgb="FFFFFFFF"/>
      <sz val="9"/>
    </font>
    <font>
      <color rgb="FF000000"/>
      <sz val="10"/>
    </font>
    <font>
      <b/>
      <sz val="14"/>
    </font>
    <font>
      <b/>
      <color rgb="FF1F4E78"/>
    </font>
    <font>
      <b/>
    </font>
    <font>
      <b/>
      <color rgb="FFC00000"/>
      <sz val="10"/>
    </font>
    <font>
      <b/>
      <color rgb="FF000000"/>
      <sz val="10"/>
    </font>
    <font>
      <b/>
      <color rgb="FFED7D31"/>
      <sz val="10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2E7D32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164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 wrapText="1"/>
    </xf>
    <xf numFmtId="166" fontId="8" fillId="0" borderId="1" xfId="0" applyNumberFormat="1" applyFont="1" applyBorder="1"/>
    <xf numFmtId="0" fontId="2" fillId="4" borderId="0" xfId="0" applyFont="1" applyFill="1" applyAlignment="1">
      <alignment horizontal="center" vertical="center"/>
    </xf>
    <xf numFmtId="0" fontId="10" fillId="0" borderId="0" xfId="0" applyFont="1" applyAlignment="1">
      <alignment vertical="center" wrapText="1"/>
    </xf>
    <xf numFmtId="166" fontId="0" fillId="0" borderId="1" xfId="0" applyNumberFormat="1" applyBorder="1"/>
    <xf numFmtId="0" fontId="2" fillId="5" borderId="0" xfId="0" applyFont="1" applyFill="1" applyAlignment="1">
      <alignment horizontal="center" vertical="center"/>
    </xf>
    <xf numFmtId="10" fontId="0" fillId="0" borderId="1" xfId="0" applyNumberForma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9" fontId="0" fillId="0" borderId="1" xfId="0" applyNumberFormat="1" applyBorder="1"/>
    <xf numFmtId="166" fontId="2" fillId="6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6" fontId="2" fillId="5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5" width="12" customWidth="1"/>
    <col min="6" max="6" width="3" customWidth="1"/>
    <col min="7" max="7" width="32" customWidth="1"/>
    <col min="8" max="11" width="14" customWidth="1"/>
    <col min="12" max="12" width="11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2:12" x14ac:dyDescent="0.25">
      <c r="B3" s="2" t="s">
        <v>1</v>
      </c>
      <c r="C3" s="2"/>
      <c r="D3" s="2"/>
      <c r="E3" s="2"/>
      <c r="G3" s="3" t="s">
        <v>2</v>
      </c>
      <c r="H3" s="3"/>
      <c r="I3" s="4" t="s">
        <v>3</v>
      </c>
      <c r="J3" s="4"/>
      <c r="K3" s="4"/>
      <c r="L3" s="4"/>
    </row>
    <row r="4" spans="2:12" x14ac:dyDescent="0.25">
      <c r="B4" s="5" t="s">
        <v>4</v>
      </c>
      <c r="C4" s="6"/>
      <c r="D4" s="6"/>
      <c r="E4" s="6"/>
      <c r="G4" s="7" t="s">
        <v>5</v>
      </c>
      <c r="H4" s="7"/>
      <c r="I4" s="8">
        <f>IF(G4="CAMPING CAR",135,20)</f>
      </c>
      <c r="J4" s="8"/>
      <c r="K4" s="8">
        <f>IF(G4="CAMPING CAR",790,380)</f>
      </c>
      <c r="L4" s="8"/>
    </row>
    <row r="5" spans="2:12" x14ac:dyDescent="0.25">
      <c r="B5" s="5" t="s">
        <v>6</v>
      </c>
      <c r="C5" s="6"/>
      <c r="D5" s="6"/>
      <c r="E5" s="6"/>
      <c r="G5" s="7"/>
      <c r="H5" s="7"/>
      <c r="I5" s="8"/>
      <c r="J5" s="8"/>
      <c r="K5" s="8"/>
      <c r="L5" s="8"/>
    </row>
    <row r="6" spans="2:8" x14ac:dyDescent="0.25">
      <c r="B6" s="5" t="s">
        <v>7</v>
      </c>
      <c r="C6" s="9"/>
      <c r="D6" s="9"/>
      <c r="E6" s="9"/>
      <c r="G6" s="3" t="s">
        <v>8</v>
      </c>
      <c r="H6" s="3"/>
    </row>
    <row r="7" spans="2:12" x14ac:dyDescent="0.25">
      <c r="B7" s="5" t="s">
        <v>9</v>
      </c>
      <c r="C7" s="9"/>
      <c r="D7" s="9"/>
      <c r="E7" s="9"/>
      <c r="G7" s="10" t="s">
        <v>10</v>
      </c>
      <c r="H7" s="10"/>
      <c r="I7" s="11">
        <f>IF(G4="CAMPING CAR",200,150)</f>
      </c>
      <c r="J7" s="11"/>
      <c r="K7" s="12">
        <f>IF(G4="CAMPING CAR","4 Heures","3 Heures")</f>
      </c>
      <c r="L7" s="12"/>
    </row>
    <row r="8" spans="2:12" x14ac:dyDescent="0.25">
      <c r="B8" s="13" t="s">
        <v>11</v>
      </c>
      <c r="C8" s="14">
        <f>IF(E35=0,(E34*9%),(E34*11%+E40*0.3%))</f>
      </c>
      <c r="D8" s="14"/>
      <c r="E8" s="14"/>
      <c r="G8" s="10"/>
      <c r="H8" s="10"/>
      <c r="I8" s="11"/>
      <c r="J8" s="11"/>
      <c r="K8" s="12"/>
      <c r="L8" s="12"/>
    </row>
    <row r="10" spans="2:12" x14ac:dyDescent="0.25">
      <c r="B10" s="2" t="s">
        <v>12</v>
      </c>
      <c r="C10" s="2"/>
      <c r="D10" s="2"/>
      <c r="E10" s="2"/>
      <c r="G10" s="15" t="s">
        <v>13</v>
      </c>
      <c r="H10" s="15"/>
      <c r="I10" s="15"/>
      <c r="J10" s="15"/>
      <c r="K10" s="15"/>
      <c r="L10" s="15"/>
    </row>
    <row r="11" spans="2:12" x14ac:dyDescent="0.25">
      <c r="B11" s="5" t="s">
        <v>14</v>
      </c>
      <c r="C11" s="9"/>
      <c r="D11" s="9"/>
      <c r="E11" s="9"/>
      <c r="G11" s="16" t="s">
        <v>15</v>
      </c>
      <c r="I11" s="16" t="s">
        <v>16</v>
      </c>
      <c r="J11" s="16" t="s">
        <v>17</v>
      </c>
      <c r="K11" s="16" t="s">
        <v>18</v>
      </c>
      <c r="L11" s="16" t="s">
        <v>19</v>
      </c>
    </row>
    <row r="12" spans="2:12" x14ac:dyDescent="0.25">
      <c r="B12" s="5" t="s">
        <v>20</v>
      </c>
      <c r="C12" s="9"/>
      <c r="D12" s="9"/>
      <c r="E12" s="9"/>
      <c r="G12" s="9"/>
      <c r="I12" s="17"/>
      <c r="J12" s="17"/>
      <c r="K12" s="17"/>
      <c r="L12" s="9">
        <f>IFERROR(J12/50&amp;" H",0)</f>
      </c>
    </row>
    <row r="13" spans="2:12" x14ac:dyDescent="0.25">
      <c r="B13" s="5" t="s">
        <v>21</v>
      </c>
      <c r="C13" s="9"/>
      <c r="D13" s="9"/>
      <c r="E13" s="9"/>
      <c r="G13" s="9"/>
      <c r="I13" s="17"/>
      <c r="J13" s="17"/>
      <c r="K13" s="17"/>
      <c r="L13" s="9">
        <f>IFERROR(J13/50&amp;" H",0)</f>
      </c>
    </row>
    <row r="14" spans="2:12" x14ac:dyDescent="0.25">
      <c r="B14" s="5" t="s">
        <v>22</v>
      </c>
      <c r="C14" s="9"/>
      <c r="D14" s="9"/>
      <c r="E14" s="9"/>
      <c r="G14" s="9"/>
      <c r="I14" s="17"/>
      <c r="J14" s="17"/>
      <c r="K14" s="17"/>
      <c r="L14" s="9">
        <f>IFERROR(J14/50&amp;" H",0)</f>
      </c>
    </row>
    <row r="15" spans="2:12" x14ac:dyDescent="0.25">
      <c r="B15" s="5" t="s">
        <v>23</v>
      </c>
      <c r="C15" s="9"/>
      <c r="D15" s="9"/>
      <c r="E15" s="9"/>
      <c r="G15" s="9"/>
      <c r="I15" s="17"/>
      <c r="J15" s="17"/>
      <c r="K15" s="17"/>
      <c r="L15" s="9">
        <f>IFERROR(J15/50&amp;" H",0)</f>
      </c>
    </row>
    <row r="16" spans="2:12" x14ac:dyDescent="0.25">
      <c r="B16" s="5" t="s">
        <v>24</v>
      </c>
      <c r="C16" s="6"/>
      <c r="D16" s="6"/>
      <c r="E16" s="6"/>
      <c r="G16" s="9"/>
      <c r="I16" s="17"/>
      <c r="J16" s="17"/>
      <c r="K16" s="17"/>
      <c r="L16" s="9">
        <f>IFERROR(J16/50&amp;" H",0)</f>
      </c>
    </row>
    <row r="17" spans="7:12" x14ac:dyDescent="0.25">
      <c r="G17" s="9"/>
      <c r="I17" s="17"/>
      <c r="J17" s="17"/>
      <c r="K17" s="17"/>
      <c r="L17" s="9">
        <f>IFERROR(J17/50&amp;" H",0)</f>
      </c>
    </row>
    <row r="18" spans="2:12" x14ac:dyDescent="0.25">
      <c r="B18" s="18" t="s">
        <v>25</v>
      </c>
      <c r="C18" s="18"/>
      <c r="D18" s="18"/>
      <c r="E18" s="18"/>
      <c r="G18" s="9"/>
      <c r="I18" s="17"/>
      <c r="J18" s="17"/>
      <c r="K18" s="17"/>
      <c r="L18" s="9">
        <f>IFERROR(J18/50&amp;" H",0)</f>
      </c>
    </row>
    <row r="19" spans="2:12" x14ac:dyDescent="0.25">
      <c r="B19" s="13" t="s">
        <v>16</v>
      </c>
      <c r="E19" s="17"/>
      <c r="G19" s="9"/>
      <c r="I19" s="17"/>
      <c r="J19" s="17"/>
      <c r="K19" s="17"/>
      <c r="L19" s="9">
        <f>IFERROR(J19/50&amp;" H",0)</f>
      </c>
    </row>
    <row r="20" spans="2:12" x14ac:dyDescent="0.25">
      <c r="B20" s="5" t="s">
        <v>26</v>
      </c>
      <c r="E20" s="17"/>
      <c r="G20" s="9"/>
      <c r="I20" s="17"/>
      <c r="J20" s="17"/>
      <c r="K20" s="17"/>
      <c r="L20" s="9">
        <f>IFERROR(J20/50&amp;" H",0)</f>
      </c>
    </row>
    <row r="21" spans="2:12" x14ac:dyDescent="0.25">
      <c r="B21" s="5" t="s">
        <v>27</v>
      </c>
      <c r="E21" s="17"/>
      <c r="G21" s="9"/>
      <c r="I21" s="17"/>
      <c r="J21" s="17"/>
      <c r="K21" s="17"/>
      <c r="L21" s="9">
        <f>IFERROR(J21/50&amp;" H",0)</f>
      </c>
    </row>
    <row r="22" spans="2:12" x14ac:dyDescent="0.25">
      <c r="B22" s="13" t="s">
        <v>28</v>
      </c>
      <c r="E22" s="17"/>
      <c r="G22" s="9"/>
      <c r="I22" s="17"/>
      <c r="J22" s="17"/>
      <c r="K22" s="17"/>
      <c r="L22" s="9">
        <f>IFERROR(J22/50&amp;" H",0)</f>
      </c>
    </row>
    <row r="23" spans="2:12" x14ac:dyDescent="0.25">
      <c r="B23" s="5" t="s">
        <v>29</v>
      </c>
      <c r="E23" s="17"/>
      <c r="G23" s="9"/>
      <c r="I23" s="17"/>
      <c r="J23" s="17"/>
      <c r="K23" s="17"/>
      <c r="L23" s="9">
        <f>IFERROR(J23/50&amp;" H",0)</f>
      </c>
    </row>
    <row r="24" spans="2:12" x14ac:dyDescent="0.25">
      <c r="B24" s="5" t="s">
        <v>30</v>
      </c>
      <c r="E24" s="17"/>
      <c r="G24" s="9"/>
      <c r="I24" s="17"/>
      <c r="J24" s="17"/>
      <c r="K24" s="17"/>
      <c r="L24" s="9">
        <f>IFERROR(J24/50&amp;" H",0)</f>
      </c>
    </row>
    <row r="25" spans="2:12" x14ac:dyDescent="0.25">
      <c r="B25" s="5" t="s">
        <v>31</v>
      </c>
      <c r="E25" s="17">
        <f>E24+K27+IF(G4="CAMPING CAR",790,380)</f>
      </c>
      <c r="G25" s="9"/>
      <c r="I25" s="17"/>
      <c r="J25" s="17"/>
      <c r="K25" s="17"/>
      <c r="L25" s="9">
        <f>IFERROR(J25/50&amp;" H",0)</f>
      </c>
    </row>
    <row r="26" spans="2:12" x14ac:dyDescent="0.25">
      <c r="B26" s="13" t="s">
        <v>32</v>
      </c>
      <c r="E26" s="17"/>
      <c r="G26" s="9"/>
      <c r="I26" s="17"/>
      <c r="J26" s="17"/>
      <c r="K26" s="17"/>
      <c r="L26" s="9">
        <f>IFERROR(J26/50&amp;" H",0)</f>
      </c>
    </row>
    <row r="27" spans="2:12" x14ac:dyDescent="0.25">
      <c r="B27" s="5" t="s">
        <v>33</v>
      </c>
      <c r="D27" s="19">
        <f>IF(E25=0,0,E27/E25)</f>
      </c>
      <c r="E27" s="17">
        <f>E25-E26</f>
      </c>
      <c r="G27" s="20" t="s">
        <v>34</v>
      </c>
      <c r="I27" s="14">
        <f>SUM(I12:I26)</f>
      </c>
      <c r="J27" s="14">
        <f>SUM(J12:J26)</f>
      </c>
      <c r="K27" s="14">
        <f>SUM(K12:K26)</f>
      </c>
      <c r="L27" s="21">
        <f>SUM(J12:J26)/50&amp;" HEURES"</f>
      </c>
    </row>
    <row r="28" spans="4:5" x14ac:dyDescent="0.25">
      <c r="D28" s="22">
        <f>IF(AND(G4="CAMPING CAR",C13=2027),12%,(IF(AND(G4="CAMPING CAR",C13=2026),11%,(IF(AND(G4="CAMPING CAR",C13=2025),8%,(IF(AND(G4="CAMPING CAR",C13="2024 &amp; &lt;"),"DESTOCKAGE",(IF(AND(G4="CARAVANE",C13=2026),14%,(IF(AND(G4="CARAVANE",C13=2025),12%,(IF(AND(G4="CARAVANE",C13=2024),10%,(IF(AND(G4="CARAVANE",C13="2023 &amp; &lt;"),"DESTOCKAGE",(IF(C13="DESTOCKAGE = VALIDATION","DESTOCKAGE","COLLECTION")))))))))))))))))</f>
      </c>
      <c r="E28" s="17">
        <f>IFERROR((E19+E20+E21+E22+E23+I4+I7+I27+J27+I45+J45)/(1-D28)*1.2,"DESTOCKAGE")</f>
      </c>
    </row>
    <row r="29" spans="2:12" x14ac:dyDescent="0.25">
      <c r="B29" s="23">
        <f>IFERROR(E30+E31,"DESTOCKAGE")</f>
      </c>
      <c r="C29" s="23"/>
      <c r="D29" s="23"/>
      <c r="E29" s="23"/>
      <c r="G29" s="3" t="s">
        <v>35</v>
      </c>
      <c r="H29" s="3"/>
      <c r="I29" s="3"/>
      <c r="J29" s="3"/>
      <c r="K29" s="3"/>
      <c r="L29" s="3"/>
    </row>
    <row r="30" spans="2:12" x14ac:dyDescent="0.25">
      <c r="B30" s="24" t="s">
        <v>36</v>
      </c>
      <c r="E30" s="17">
        <f>IFERROR(E28/1.2-(E19+E20+E21+E22+E23+I4+I7+I27+J27+I45+J45),"DESTOCKAGE")</f>
      </c>
      <c r="G30" s="16" t="s">
        <v>37</v>
      </c>
      <c r="I30" s="16" t="s">
        <v>38</v>
      </c>
      <c r="J30" s="16" t="s">
        <v>39</v>
      </c>
      <c r="K30" s="16" t="s">
        <v>18</v>
      </c>
      <c r="L30" s="16" t="s">
        <v>19</v>
      </c>
    </row>
    <row r="31" spans="2:9" x14ac:dyDescent="0.25">
      <c r="B31" s="24" t="s">
        <v>40</v>
      </c>
      <c r="E31" s="17">
        <f>E25*0.3*0.06</f>
      </c>
      <c r="G31" s="13" t="s">
        <v>41</v>
      </c>
      <c r="I31" s="17">
        <f>IF(G4="CAMPING CAR",600,0)</f>
      </c>
    </row>
    <row r="32" spans="7:10" x14ac:dyDescent="0.25">
      <c r="G32">
        <f>G7</f>
      </c>
      <c r="I32" s="17">
        <f>IF(G7="EXPO 1 AN",50,IF(G7="EXPO 2 ANS",342,0))</f>
      </c>
      <c r="J32" s="17">
        <f>IF(G7="EXPO DE L'ANNEE (OU CARAVANE)",50,IF(G7="EXPO 1 AN",100,IF(G7="EXPO 2 ANS",200,0)))</f>
      </c>
    </row>
    <row r="33" spans="2:11" x14ac:dyDescent="0.25">
      <c r="B33" s="25">
        <f>E34+E35</f>
      </c>
      <c r="C33" s="25"/>
      <c r="D33" s="25"/>
      <c r="E33" s="25"/>
      <c r="G33" s="9" t="s">
        <v>42</v>
      </c>
      <c r="I33" s="17">
        <f>IF(G33="Camping car avec batterie",0,192)</f>
      </c>
      <c r="J33" s="17">
        <f>IF(G33="Camping car avec batterie",0,50)</f>
      </c>
      <c r="K33" s="17">
        <f>IF(G33="Camping car avec batterie",0,390)</f>
      </c>
    </row>
    <row r="34" spans="2:9" x14ac:dyDescent="0.25">
      <c r="B34" s="13" t="s">
        <v>36</v>
      </c>
      <c r="D34" s="19">
        <f>IF(E26=0,0,E34/(E26/1.2))</f>
      </c>
      <c r="E34" s="17">
        <f>E26/1.2-(E19+E20+E21+E22+E23+I4+I7+I27+J27+I45+J45)</f>
      </c>
      <c r="G34" s="5" t="s">
        <v>43</v>
      </c>
      <c r="I34" s="17">
        <v>180</v>
      </c>
    </row>
    <row r="35" spans="2:7" x14ac:dyDescent="0.25">
      <c r="B35" s="13" t="s">
        <v>40</v>
      </c>
      <c r="E35" s="17">
        <f>IF(E38="OUI",E40*0.06,0)</f>
      </c>
      <c r="G35" s="16" t="s">
        <v>34</v>
      </c>
    </row>
    <row r="37" spans="2:5" x14ac:dyDescent="0.25">
      <c r="B37" s="2" t="s">
        <v>44</v>
      </c>
      <c r="C37" s="2"/>
      <c r="D37" s="2"/>
      <c r="E37" s="2"/>
    </row>
    <row r="38" spans="2:5" x14ac:dyDescent="0.25">
      <c r="B38" s="5" t="s">
        <v>44</v>
      </c>
      <c r="E38" s="9" t="s">
        <v>45</v>
      </c>
    </row>
    <row r="39" spans="2:5" x14ac:dyDescent="0.25">
      <c r="B39" s="5" t="s">
        <v>46</v>
      </c>
      <c r="E39" s="9"/>
    </row>
    <row r="40" spans="2:5" x14ac:dyDescent="0.25">
      <c r="B40" s="5" t="s">
        <v>47</v>
      </c>
      <c r="E40" s="17"/>
    </row>
    <row r="42" spans="2:5" x14ac:dyDescent="0.25">
      <c r="B42" s="2" t="s">
        <v>48</v>
      </c>
      <c r="C42" s="2"/>
      <c r="D42" s="2"/>
      <c r="E42" s="2"/>
    </row>
    <row r="43" spans="2:5" x14ac:dyDescent="0.25">
      <c r="B43" s="5" t="s">
        <v>48</v>
      </c>
      <c r="E43" s="9" t="s">
        <v>45</v>
      </c>
    </row>
    <row r="44" spans="2:5" x14ac:dyDescent="0.25">
      <c r="B44" s="5" t="s">
        <v>49</v>
      </c>
      <c r="E44" s="17"/>
    </row>
    <row r="45" spans="2:10" x14ac:dyDescent="0.25">
      <c r="B45" s="5" t="s">
        <v>50</v>
      </c>
      <c r="E45" s="17"/>
      <c r="I45" s="26">
        <f>SUM(I31:I34)</f>
      </c>
      <c r="J45" s="26">
        <f>SUM(J31:J34)</f>
      </c>
    </row>
    <row r="47" spans="2:12" x14ac:dyDescent="0.25">
      <c r="B47" s="27" t="s">
        <v>51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9" spans="2:12" x14ac:dyDescent="0.25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2:12" x14ac:dyDescent="0.25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spans="2:12" x14ac:dyDescent="0.25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</row>
    <row r="52" spans="2:12" x14ac:dyDescent="0.25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2:12" x14ac:dyDescent="0.25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2:12" x14ac:dyDescent="0.25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 spans="2:12" x14ac:dyDescent="0.25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spans="2:12" x14ac:dyDescent="0.25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</sheetData>
  <mergeCells count="32">
    <mergeCell ref="A1:L1"/>
    <mergeCell ref="B3:E3"/>
    <mergeCell ref="G3:H3"/>
    <mergeCell ref="I3:L3"/>
    <mergeCell ref="C4:E4"/>
    <mergeCell ref="G4:H5"/>
    <mergeCell ref="I4:J5"/>
    <mergeCell ref="K4:L5"/>
    <mergeCell ref="C5:E5"/>
    <mergeCell ref="C6:E6"/>
    <mergeCell ref="G6:H6"/>
    <mergeCell ref="C7:E7"/>
    <mergeCell ref="G7:H8"/>
    <mergeCell ref="I7:J8"/>
    <mergeCell ref="K7:L8"/>
    <mergeCell ref="C8:E8"/>
    <mergeCell ref="B10:E10"/>
    <mergeCell ref="G10:L10"/>
    <mergeCell ref="C11:E11"/>
    <mergeCell ref="C12:E12"/>
    <mergeCell ref="C13:E13"/>
    <mergeCell ref="C14:E14"/>
    <mergeCell ref="C15:E15"/>
    <mergeCell ref="C16:E16"/>
    <mergeCell ref="B18:E18"/>
    <mergeCell ref="B29:E29"/>
    <mergeCell ref="G29:L29"/>
    <mergeCell ref="B33:E33"/>
    <mergeCell ref="B37:E37"/>
    <mergeCell ref="B42:E42"/>
    <mergeCell ref="B47:L47"/>
    <mergeCell ref="B49:L56"/>
  </mergeCells>
  <dataValidations count="8">
    <dataValidation type="list" allowBlank="1" sqref="C13">
      <formula1>"2027,2026,2025,2024 &amp; &lt; = DESTOCKAGE"</formula1>
    </dataValidation>
    <dataValidation type="list" allowBlank="1" sqref="C14">
      <formula1>"STOCK,REASSORT,COMMANDE"</formula1>
    </dataValidation>
    <dataValidation type="list" allowBlank="1" sqref="E38">
      <formula1>"OUI,NON"</formula1>
    </dataValidation>
    <dataValidation type="list" allowBlank="1" sqref="E39">
      <formula1>"CETELEM,FINANCO,LOISIRS FI,SANTANDER,VIAXEL"</formula1>
    </dataValidation>
    <dataValidation type="list" allowBlank="1" sqref="E43">
      <formula1>"OUI,NON"</formula1>
    </dataValidation>
    <dataValidation type="list" allowBlank="1" sqref="G33">
      <formula1>"Camping car avec batterie,Batterie gel 105Ah,Pack 2 batteries gel 105Ah (incluant cosses et câblage supplémentaires)"</formula1>
    </dataValidation>
    <dataValidation type="list" allowBlank="1" sqref="G4">
      <formula1>"CAMPING CAR,CARAVANE"</formula1>
    </dataValidation>
    <dataValidation type="list" allowBlank="1" sqref="G7">
      <formula1>"PAS D'EXPO,EXPO DE L'ANNEE (OU CARAVANE),EXPO 1 AN,EXPO 2 ANS"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 VN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2026-07-30T12:31:01Z</dcterms:created>
  <dcterms:modified xsi:type="dcterms:W3CDTF">2026-07-30T12:31:01Z</dcterms:modified>
</cp:coreProperties>
</file>